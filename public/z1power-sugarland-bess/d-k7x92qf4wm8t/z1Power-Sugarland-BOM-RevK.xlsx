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C00000"/>
      <sz val="9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C08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5" fillId="3" borderId="0" pivotButton="0" quotePrefix="0" xfId="0"/>
    <xf numFmtId="0" fontId="0" fillId="3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8" fillId="0" borderId="0" pivotButton="0" quotePrefix="0" xfId="0"/>
    <xf numFmtId="165" fontId="8" fillId="0" borderId="0" pivotButton="0" quotePrefix="0" xfId="0"/>
    <xf numFmtId="165" fontId="8" fillId="4" borderId="0" pivotButton="0" quotePrefix="0" xfId="0"/>
    <xf numFmtId="0" fontId="6" fillId="0" borderId="0" pivotButton="0" quotePrefix="0" xfId="0"/>
    <xf numFmtId="9" fontId="7" fillId="5" borderId="0" pivotButton="0" quotePrefix="0" xfId="0"/>
    <xf numFmtId="165" fontId="6" fillId="0" borderId="0" pivotButton="0" quotePrefix="0" xfId="0"/>
    <xf numFmtId="165" fontId="9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2" customWidth="1" min="3" max="3"/>
    <col width="18" customWidth="1" min="4" max="4"/>
    <col width="24" customWidth="1" min="5" max="5"/>
    <col width="6" customWidth="1" min="6" max="6"/>
    <col width="14" customWidth="1" min="7" max="7"/>
    <col width="14" customWidth="1" min="8" max="8"/>
    <col width="10" customWidth="1" min="9" max="9"/>
    <col width="58" customWidth="1" min="10" max="10"/>
  </cols>
  <sheetData>
    <row r="1">
      <c r="A1" s="1" t="inlineStr">
        <is>
          <t>Z1 SUGARLAND BESS - COMBINED EMS+MBMU ENCLOSURE - PANEL BILL OF MATERIALS</t>
        </is>
      </c>
    </row>
    <row r="2">
      <c r="A2" s="2" t="inlineStr">
        <is>
          <t>Rev K (PE review-board remediation incorporated)  |  2026-08-09  |  DWG Z1SL-E-001/A3-000 REV K  |  BUDGETARY - NOT FOR PROCUREMENT  |  Prices: 2026 USD street/list</t>
        </is>
      </c>
    </row>
    <row r="3">
      <c r="A3" s="3" t="inlineStr">
        <is>
          <t>Basis codes: QUOTED = live distributor price found 2026-08 | EST = budgetary estimate +/-25% | CATL = supplied with battery cabinets, $0 to panel | TBD = pending ICD, carried as contingency</t>
        </is>
      </c>
    </row>
    <row r="4">
      <c r="A4" s="3" t="inlineStr">
        <is>
          <t>Blue cells are editable inputs (quantities, contingency %). All extended costs and totals are formulas.</t>
        </is>
      </c>
    </row>
    <row r="6">
      <c r="A6" s="4" t="inlineStr">
        <is>
          <t>Item</t>
        </is>
      </c>
      <c r="B6" s="4" t="inlineStr">
        <is>
          <t>Ref Des</t>
        </is>
      </c>
      <c r="C6" s="4" t="inlineStr">
        <is>
          <t>Description</t>
        </is>
      </c>
      <c r="D6" s="4" t="inlineStr">
        <is>
          <t>Manufacturer</t>
        </is>
      </c>
      <c r="E6" s="4" t="inlineStr">
        <is>
          <t>Part Number</t>
        </is>
      </c>
      <c r="F6" s="4" t="inlineStr">
        <is>
          <t>Qty</t>
        </is>
      </c>
      <c r="G6" s="4" t="inlineStr">
        <is>
          <t>Unit Cost (USD)</t>
        </is>
      </c>
      <c r="H6" s="4" t="inlineStr">
        <is>
          <t>Ext Cost (USD)</t>
        </is>
      </c>
      <c r="I6" s="4" t="inlineStr">
        <is>
          <t>Basis</t>
        </is>
      </c>
      <c r="J6" s="4" t="inlineStr">
        <is>
          <t>Notes / Source</t>
        </is>
      </c>
    </row>
    <row r="7">
      <c r="A7" s="5" t="inlineStr">
        <is>
          <t>SHEET 2 - 480V POWER DISTRIBUTION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7" t="n">
        <v>1</v>
      </c>
      <c r="B8" s="7" t="inlineStr">
        <is>
          <t>Q1</t>
        </is>
      </c>
      <c r="C8" s="8" t="inlineStr">
        <is>
          <t>Main disconnect breaker 40A 3P UL489 DIN, 480V, marked IR</t>
        </is>
      </c>
      <c r="D8" s="7" t="inlineStr">
        <is>
          <t>Phoenix Contact</t>
        </is>
      </c>
      <c r="E8" s="7" t="inlineStr">
        <is>
          <t>TMC S3D (per Carson) [VERIFY AIC vs SCCR study]</t>
        </is>
      </c>
      <c r="F8" s="9" t="n">
        <v>1</v>
      </c>
      <c r="G8" s="10" t="n">
        <v>118</v>
      </c>
      <c r="H8" s="11">
        <f>F8*G8</f>
        <v/>
      </c>
      <c r="I8" s="7" t="inlineStr">
        <is>
          <t>EST</t>
        </is>
      </c>
      <c r="J8" s="8" t="inlineStr">
        <is>
          <t>Carson carryover P/N; frame + AIC into SCCR worksheet Z1SL-SCH-001</t>
        </is>
      </c>
    </row>
    <row r="9">
      <c r="A9" s="7" t="n">
        <v>2</v>
      </c>
      <c r="B9" s="7" t="inlineStr">
        <is>
          <t>CB1</t>
        </is>
      </c>
      <c r="C9" s="8" t="inlineStr">
        <is>
          <t>SPD breaker 30A 3P UL489 DIN, 480Y/277V, 10kA min</t>
        </is>
      </c>
      <c r="D9" s="7" t="inlineStr">
        <is>
          <t>ABB</t>
        </is>
      </c>
      <c r="E9" s="7" t="inlineStr">
        <is>
          <t>SU203M-K30 [PROPOSED - CONFIRM AT PROCUREMENT]</t>
        </is>
      </c>
      <c r="F9" s="9" t="n">
        <v>1</v>
      </c>
      <c r="G9" s="10" t="n">
        <v>96</v>
      </c>
      <c r="H9" s="11">
        <f>F9*G9</f>
        <v/>
      </c>
      <c r="I9" s="7" t="inlineStr">
        <is>
          <t>EST</t>
        </is>
      </c>
      <c r="J9" s="8" t="inlineStr">
        <is>
          <t>Per SPD mfr instruction; voltage + IR marked per REV K R-04</t>
        </is>
      </c>
    </row>
    <row r="10">
      <c r="A10" s="7" t="n">
        <v>3</v>
      </c>
      <c r="B10" s="7" t="inlineStr">
        <is>
          <t>SPD1</t>
        </is>
      </c>
      <c r="C10" s="8" t="inlineStr">
        <is>
          <t>Type 2 SPD, 480/277Y, NEMA panel mount</t>
        </is>
      </c>
      <c r="D10" s="7" t="inlineStr">
        <is>
          <t>Raycap/Eaton</t>
        </is>
      </c>
      <c r="E10" s="7" t="inlineStr">
        <is>
          <t>[VERIFY P/N + In/AIC]</t>
        </is>
      </c>
      <c r="F10" s="9" t="n">
        <v>1</v>
      </c>
      <c r="G10" s="10" t="n">
        <v>460</v>
      </c>
      <c r="H10" s="11">
        <f>F10*G10</f>
        <v/>
      </c>
      <c r="I10" s="7" t="inlineStr">
        <is>
          <t>EST</t>
        </is>
      </c>
      <c r="J10" s="8" t="inlineStr">
        <is>
          <t>Good-practice addition; status indicator visible through window</t>
        </is>
      </c>
    </row>
    <row r="11">
      <c r="A11" s="7" t="n">
        <v>4</v>
      </c>
      <c r="B11" s="7" t="inlineStr">
        <is>
          <t>F1-F3</t>
        </is>
      </c>
      <c r="C11" s="8" t="inlineStr">
        <is>
          <t>Fuse, Class CC fast-acting 1A (meter taps)</t>
        </is>
      </c>
      <c r="D11" s="7" t="inlineStr">
        <is>
          <t>Littelfuse</t>
        </is>
      </c>
      <c r="E11" s="7" t="inlineStr">
        <is>
          <t>KLKR-1</t>
        </is>
      </c>
      <c r="F11" s="9" t="n">
        <v>3</v>
      </c>
      <c r="G11" s="10" t="n">
        <v>9.199999999999999</v>
      </c>
      <c r="H11" s="11">
        <f>F11*G11</f>
        <v/>
      </c>
      <c r="I11" s="7" t="inlineStr">
        <is>
          <t>EST</t>
        </is>
      </c>
      <c r="J11" s="8" t="inlineStr">
        <is>
          <t>Fuse schedule Z1SL-SCH-001</t>
        </is>
      </c>
    </row>
    <row r="12">
      <c r="A12" s="7" t="n">
        <v>5</v>
      </c>
      <c r="B12" s="7" t="inlineStr">
        <is>
          <t>F4,F5</t>
        </is>
      </c>
      <c r="C12" s="8" t="inlineStr">
        <is>
          <t>Fuse, Class CC TIME-DELAY 3A (CPT primary, 450.3(B) &lt;=3A)</t>
        </is>
      </c>
      <c r="D12" s="7" t="inlineStr">
        <is>
          <t>Littelfuse</t>
        </is>
      </c>
      <c r="E12" s="7" t="inlineStr">
        <is>
          <t>FNQ-R-3</t>
        </is>
      </c>
      <c r="F12" s="9" t="n">
        <v>2</v>
      </c>
      <c r="G12" s="10" t="n">
        <v>11.4</v>
      </c>
      <c r="H12" s="11">
        <f>F12*G12</f>
        <v/>
      </c>
      <c r="I12" s="7" t="inlineStr">
        <is>
          <t>EST</t>
        </is>
      </c>
      <c r="J12" s="8" t="inlineStr">
        <is>
          <t>REV K R-05: KLKR fast-acting will not hold CPT inrush; &lt;=3A per NEC 450.3(B) primary-only</t>
        </is>
      </c>
    </row>
    <row r="13">
      <c r="A13" s="7" t="n">
        <v>6</v>
      </c>
      <c r="B13" s="7" t="inlineStr">
        <is>
          <t>PT1</t>
        </is>
      </c>
      <c r="C13" s="8" t="inlineStr">
        <is>
          <t>Potential transformer set, 480:120, metering class</t>
        </is>
      </c>
      <c r="D13" s="7" t="inlineStr">
        <is>
          <t>Functional Devices/ITI</t>
        </is>
      </c>
      <c r="E13" s="7" t="inlineStr">
        <is>
          <t>[VERIFY ratio per Carson]</t>
        </is>
      </c>
      <c r="F13" s="9" t="n">
        <v>1</v>
      </c>
      <c r="G13" s="10" t="n">
        <v>430</v>
      </c>
      <c r="H13" s="11">
        <f>F13*G13</f>
        <v/>
      </c>
      <c r="I13" s="7" t="inlineStr">
        <is>
          <t>EST</t>
        </is>
      </c>
      <c r="J13" s="8" t="inlineStr">
        <is>
          <t>Meter voltage reference</t>
        </is>
      </c>
    </row>
    <row r="14">
      <c r="A14" s="7" t="n">
        <v>7</v>
      </c>
      <c r="B14" s="7" t="inlineStr">
        <is>
          <t>TB1,TB13</t>
        </is>
      </c>
      <c r="C14" s="8" t="inlineStr">
        <is>
          <t>Feed-through TB, UT 6 (grey) + UT 6-PE (gn/ye)</t>
        </is>
      </c>
      <c r="D14" s="7" t="inlineStr">
        <is>
          <t>Phoenix Contact</t>
        </is>
      </c>
      <c r="E14" s="7" t="inlineStr">
        <is>
          <t>UT 6 / UT 6-PE</t>
        </is>
      </c>
      <c r="F14" s="9" t="n">
        <v>12</v>
      </c>
      <c r="G14" s="10" t="n">
        <v>3.4</v>
      </c>
      <c r="H14" s="11">
        <f>F14*G14</f>
        <v/>
      </c>
      <c r="I14" s="7" t="inlineStr">
        <is>
          <t>EST</t>
        </is>
      </c>
      <c r="J14" s="8" t="inlineStr">
        <is>
          <t>480V entry + 380Y aux feeder in; qty incl spares</t>
        </is>
      </c>
    </row>
    <row r="15">
      <c r="A15" s="7" t="n">
        <v>8</v>
      </c>
      <c r="B15" s="7" t="inlineStr">
        <is>
          <t>GB1</t>
        </is>
      </c>
      <c r="C15" s="8" t="inlineStr">
        <is>
          <t>Ground bus bar kit + lugs</t>
        </is>
      </c>
      <c r="D15" s="7" t="inlineStr">
        <is>
          <t>Ilsco/Panduit</t>
        </is>
      </c>
      <c r="E15" s="7" t="inlineStr">
        <is>
          <t>IGB-14 class [PROPOSED]</t>
        </is>
      </c>
      <c r="F15" s="9" t="n">
        <v>1</v>
      </c>
      <c r="G15" s="10" t="n">
        <v>48</v>
      </c>
      <c r="H15" s="11">
        <f>F15*G15</f>
        <v/>
      </c>
      <c r="I15" s="7" t="inlineStr">
        <is>
          <t>EST</t>
        </is>
      </c>
      <c r="J15" s="8" t="inlineStr"/>
    </row>
    <row r="16">
      <c r="C16" s="12" t="inlineStr">
        <is>
          <t>Subtotal - SHEET 2 - 480V POWER DISTRIBUTION</t>
        </is>
      </c>
      <c r="H16" s="13">
        <f>SUM(H8:H15)</f>
        <v/>
      </c>
    </row>
    <row r="18">
      <c r="A18" s="5" t="inlineStr">
        <is>
          <t>SHEET 3 - CONTROL POWER + 24VDC (REV K RESTRUCTURE)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7" t="n">
        <v>9</v>
      </c>
      <c r="B19" s="7" t="inlineStr">
        <is>
          <t>T2</t>
        </is>
      </c>
      <c r="C19" s="8" t="inlineStr">
        <is>
          <t>Control power TX 500VA 480&gt;120/240, encapsulated</t>
        </is>
      </c>
      <c r="D19" s="7" t="inlineStr">
        <is>
          <t>SolaHD/HPS</t>
        </is>
      </c>
      <c r="E19" s="7" t="inlineStr">
        <is>
          <t>E500 class [VERIFY]</t>
        </is>
      </c>
      <c r="F19" s="9" t="n">
        <v>1</v>
      </c>
      <c r="G19" s="10" t="n">
        <v>285</v>
      </c>
      <c r="H19" s="11">
        <f>F19*G19</f>
        <v/>
      </c>
      <c r="I19" s="7" t="inlineStr">
        <is>
          <t>EST</t>
        </is>
      </c>
      <c r="J19" s="8" t="inlineStr">
        <is>
          <t>Per-leg VA census in Z1SL-SCH-001 (REV K R-03/R-62)</t>
        </is>
      </c>
    </row>
    <row r="20">
      <c r="A20" s="7" t="n">
        <v>10</v>
      </c>
      <c r="B20" s="7" t="inlineStr">
        <is>
          <t>CB2</t>
        </is>
      </c>
      <c r="C20" s="8" t="inlineStr">
        <is>
          <t>Control main breaker 2P 15A UL489 DIN, 240V, 10kA</t>
        </is>
      </c>
      <c r="D20" s="7" t="inlineStr">
        <is>
          <t>ABB</t>
        </is>
      </c>
      <c r="E20" s="7" t="inlineStr">
        <is>
          <t>SU202M-C15 [PROPOSED]</t>
        </is>
      </c>
      <c r="F20" s="9" t="n">
        <v>1</v>
      </c>
      <c r="G20" s="10" t="n">
        <v>72</v>
      </c>
      <c r="H20" s="11">
        <f>F20*G20</f>
        <v/>
      </c>
      <c r="I20" s="7" t="inlineStr">
        <is>
          <t>EST</t>
        </is>
      </c>
      <c r="J20" s="8" t="inlineStr">
        <is>
          <t>Single-point 120V isolation</t>
        </is>
      </c>
    </row>
    <row r="21">
      <c r="A21" s="7" t="n">
        <v>11</v>
      </c>
      <c r="B21" s="7" t="inlineStr">
        <is>
          <t>CB9</t>
        </is>
      </c>
      <c r="C21" s="8" t="inlineStr">
        <is>
          <t>FIRE ALARM branch breaker 1P 15A UL489, RED handle + lock-on</t>
        </is>
      </c>
      <c r="D21" s="7" t="inlineStr">
        <is>
          <t>ABB</t>
        </is>
      </c>
      <c r="E21" s="7" t="inlineStr">
        <is>
          <t>SU201M-C15 + S2C-H6R red + MSL-2 lock [PROPOSED]</t>
        </is>
      </c>
      <c r="F21" s="9" t="n">
        <v>1</v>
      </c>
      <c r="G21" s="10" t="n">
        <v>88</v>
      </c>
      <c r="H21" s="11">
        <f>F21*G21</f>
        <v/>
      </c>
      <c r="I21" s="7" t="inlineStr">
        <is>
          <t>EST</t>
        </is>
      </c>
      <c r="J21" s="8" t="inlineStr">
        <is>
          <t>REV K R-02: NEC 760.121(B) dedicated branch, feeds FACP1 + PSN1 only; placard at FACP</t>
        </is>
      </c>
    </row>
    <row r="22">
      <c r="A22" s="7" t="n">
        <v>12</v>
      </c>
      <c r="B22" s="7" t="inlineStr">
        <is>
          <t>F6,F7</t>
        </is>
      </c>
      <c r="C22" s="8" t="inlineStr">
        <is>
          <t>Fuse, Class CC time-delay 4A (PSU1/PSU2 primaries)</t>
        </is>
      </c>
      <c r="D22" s="7" t="inlineStr">
        <is>
          <t>Littelfuse</t>
        </is>
      </c>
      <c r="E22" s="7" t="inlineStr">
        <is>
          <t>CCMR-4</t>
        </is>
      </c>
      <c r="F22" s="9" t="n">
        <v>2</v>
      </c>
      <c r="G22" s="10" t="n">
        <v>10.8</v>
      </c>
      <c r="H22" s="11">
        <f>F22*G22</f>
        <v/>
      </c>
      <c r="I22" s="7" t="inlineStr">
        <is>
          <t>EST</t>
        </is>
      </c>
      <c r="J22" s="8" t="inlineStr">
        <is>
          <t>REV K R-05: time-delay for SMPS inrush</t>
        </is>
      </c>
    </row>
    <row r="23">
      <c r="A23" s="7" t="n">
        <v>13</v>
      </c>
      <c r="B23" s="7" t="inlineStr">
        <is>
          <t>F9,F19</t>
        </is>
      </c>
      <c r="C23" s="8" t="inlineStr">
        <is>
          <t>Fuse, Class CC time-delay 6A (PSU3/PSU4 primaries)</t>
        </is>
      </c>
      <c r="D23" s="7" t="inlineStr">
        <is>
          <t>Littelfuse</t>
        </is>
      </c>
      <c r="E23" s="7" t="inlineStr">
        <is>
          <t>CCMR-6</t>
        </is>
      </c>
      <c r="F23" s="9" t="n">
        <v>2</v>
      </c>
      <c r="G23" s="10" t="n">
        <v>10.8</v>
      </c>
      <c r="H23" s="11">
        <f>F23*G23</f>
        <v/>
      </c>
      <c r="I23" s="7" t="inlineStr">
        <is>
          <t>EST</t>
        </is>
      </c>
      <c r="J23" s="8" t="inlineStr"/>
    </row>
    <row r="24">
      <c r="A24" s="7" t="n">
        <v>14</v>
      </c>
      <c r="B24" s="7" t="inlineStr">
        <is>
          <t>F10-F18</t>
        </is>
      </c>
      <c r="C24" s="8" t="inlineStr">
        <is>
          <t>Fuse, Class CC: KLKR-2 x7 (CPU1/2, BMS1-3, IO, ETH), KLKR-3 x1 (network), KLKR-1 x1 (fire trip loop)</t>
        </is>
      </c>
      <c r="D24" s="7" t="inlineStr">
        <is>
          <t>Littelfuse</t>
        </is>
      </c>
      <c r="E24" s="7" t="inlineStr">
        <is>
          <t>KLKR-1/-2/-3 per schedule</t>
        </is>
      </c>
      <c r="F24" s="9" t="n">
        <v>9</v>
      </c>
      <c r="G24" s="10" t="n">
        <v>9.199999999999999</v>
      </c>
      <c r="H24" s="11">
        <f>F24*G24</f>
        <v/>
      </c>
      <c r="I24" s="7" t="inlineStr">
        <is>
          <t>EST</t>
        </is>
      </c>
      <c r="J24" s="8" t="inlineStr">
        <is>
          <t>Ratings per fuse schedule Z1SL-SCH-001 (REV K R-05: every fuse now carries its ampere rating on the drawing)</t>
        </is>
      </c>
    </row>
    <row r="25">
      <c r="A25" s="7" t="n">
        <v>15</v>
      </c>
      <c r="B25" s="7" t="inlineStr"/>
      <c r="C25" s="8" t="inlineStr">
        <is>
          <t>Fuse holder, Class CC, DIN</t>
        </is>
      </c>
      <c r="D25" s="7" t="inlineStr">
        <is>
          <t>Altech</t>
        </is>
      </c>
      <c r="E25" s="7" t="inlineStr">
        <is>
          <t>2540104 (per Carson)</t>
        </is>
      </c>
      <c r="F25" s="9" t="n">
        <v>18</v>
      </c>
      <c r="G25" s="10" t="n">
        <v>12.5</v>
      </c>
      <c r="H25" s="11">
        <f>F25*G25</f>
        <v/>
      </c>
      <c r="I25" s="7" t="inlineStr">
        <is>
          <t>EST</t>
        </is>
      </c>
      <c r="J25" s="8" t="inlineStr">
        <is>
          <t>One per fuse F1-F19 (18 total); labels 1:BMS1 2:BMS2 3:BMS3 4:IO 5:ETH per Carson</t>
        </is>
      </c>
    </row>
    <row r="26">
      <c r="A26" s="7" t="n">
        <v>16</v>
      </c>
      <c r="B26" s="7" t="inlineStr">
        <is>
          <t>PSU1,PSU2</t>
        </is>
      </c>
      <c r="C26" s="8" t="inlineStr">
        <is>
          <t>PSU 24VDC 75W DIN (rail A)</t>
        </is>
      </c>
      <c r="D26" s="7" t="inlineStr">
        <is>
          <t>Mean Well</t>
        </is>
      </c>
      <c r="E26" s="7" t="inlineStr">
        <is>
          <t>NDR-75-24</t>
        </is>
      </c>
      <c r="F26" s="9" t="n">
        <v>2</v>
      </c>
      <c r="G26" s="10" t="n">
        <v>46</v>
      </c>
      <c r="H26" s="11">
        <f>F26*G26</f>
        <v/>
      </c>
      <c r="I26" s="7" t="inlineStr">
        <is>
          <t>EST</t>
        </is>
      </c>
      <c r="J26" s="8" t="inlineStr">
        <is>
          <t>Redundant via RM1; ~35% loaded each</t>
        </is>
      </c>
    </row>
    <row r="27">
      <c r="A27" s="7" t="n">
        <v>17</v>
      </c>
      <c r="B27" s="7" t="inlineStr">
        <is>
          <t>PSU3,PSU4</t>
        </is>
      </c>
      <c r="C27" s="8" t="inlineStr">
        <is>
          <t>PSU 24VDC 240W/10A DIN (rail B, REV K R-08: now REDUNDANT pair)</t>
        </is>
      </c>
      <c r="D27" s="7" t="inlineStr">
        <is>
          <t>Mean Well</t>
        </is>
      </c>
      <c r="E27" s="7" t="inlineStr">
        <is>
          <t>NDR-240-24</t>
        </is>
      </c>
      <c r="F27" s="9" t="n">
        <v>2</v>
      </c>
      <c r="G27" s="10" t="n">
        <v>88</v>
      </c>
      <c r="H27" s="11">
        <f>F27*G27</f>
        <v/>
      </c>
      <c r="I27" s="7" t="inlineStr">
        <is>
          <t>EST</t>
        </is>
      </c>
      <c r="J27" s="8" t="inlineStr">
        <is>
          <t>REV K: PSU4 added - single-supply failure can no longer drop MBMU/ETH telemetry</t>
        </is>
      </c>
    </row>
    <row r="28">
      <c r="A28" s="7" t="n">
        <v>18</v>
      </c>
      <c r="B28" s="7" t="inlineStr">
        <is>
          <t>RM1</t>
        </is>
      </c>
      <c r="C28" s="8" t="inlineStr">
        <is>
          <t>Redundancy module 20A + DC-OK contact</t>
        </is>
      </c>
      <c r="D28" s="7" t="inlineStr">
        <is>
          <t>Mean Well</t>
        </is>
      </c>
      <c r="E28" s="7" t="inlineStr">
        <is>
          <t>DRDN20-24 [CONFIRM DC-OK contact option]</t>
        </is>
      </c>
      <c r="F28" s="9" t="n">
        <v>1</v>
      </c>
      <c r="G28" s="10" t="n">
        <v>54</v>
      </c>
      <c r="H28" s="11">
        <f>F28*G28</f>
        <v/>
      </c>
      <c r="I28" s="7" t="inlineStr">
        <is>
          <t>EST</t>
        </is>
      </c>
      <c r="J28" s="8" t="inlineStr">
        <is>
          <t>DC-OK to IO1 DI3 (REV K R-09)</t>
        </is>
      </c>
    </row>
    <row r="29">
      <c r="A29" s="7" t="n">
        <v>19</v>
      </c>
      <c r="B29" s="7" t="inlineStr">
        <is>
          <t>RM2</t>
        </is>
      </c>
      <c r="C29" s="8" t="inlineStr">
        <is>
          <t>Redundancy module 40A + DC-OK contact (REV K)</t>
        </is>
      </c>
      <c r="D29" s="7" t="inlineStr">
        <is>
          <t>Mean Well</t>
        </is>
      </c>
      <c r="E29" s="7" t="inlineStr">
        <is>
          <t>DRDN40-24 [CONFIRM DC-OK contact option]</t>
        </is>
      </c>
      <c r="F29" s="9" t="n">
        <v>1</v>
      </c>
      <c r="G29" s="10" t="n">
        <v>78</v>
      </c>
      <c r="H29" s="11">
        <f>F29*G29</f>
        <v/>
      </c>
      <c r="I29" s="7" t="inlineStr">
        <is>
          <t>EST</t>
        </is>
      </c>
      <c r="J29" s="8" t="inlineStr">
        <is>
          <t>PSU3+PSU4 ORing; DC-OK to IO1 DI4</t>
        </is>
      </c>
    </row>
    <row r="30">
      <c r="A30" s="7" t="n">
        <v>20</v>
      </c>
      <c r="B30" s="7" t="inlineStr">
        <is>
          <t>UPS1</t>
        </is>
      </c>
      <c r="C30" s="8" t="inlineStr">
        <is>
          <t>DC UPS supercap 4kJ 24VDC + signaling contact</t>
        </is>
      </c>
      <c r="D30" s="7" t="inlineStr">
        <is>
          <t>Phoenix Contact</t>
        </is>
      </c>
      <c r="E30" s="7" t="inlineStr">
        <is>
          <t>QUINT4-CAP/24DC/5/4KJ</t>
        </is>
      </c>
      <c r="F30" s="9" t="n">
        <v>1</v>
      </c>
      <c r="G30" s="10" t="n">
        <v>499.8</v>
      </c>
      <c r="H30" s="11">
        <f>F30*G30</f>
        <v/>
      </c>
      <c r="I30" s="7" t="inlineStr">
        <is>
          <t>QUOTED</t>
        </is>
      </c>
      <c r="J30" s="8" t="inlineStr">
        <is>
          <t>Octopart 2026-08; buffer contact to IO1 DI5 (REV K R-09)</t>
        </is>
      </c>
    </row>
    <row r="31">
      <c r="A31" s="7" t="n">
        <v>21</v>
      </c>
      <c r="B31" s="7" t="inlineStr">
        <is>
          <t>K1</t>
        </is>
      </c>
      <c r="C31" s="8" t="inlineStr">
        <is>
          <t>Interposing relay, 2 Form C, 24VDC coil, DIN (PCS fire trip)</t>
        </is>
      </c>
      <c r="D31" s="7" t="inlineStr">
        <is>
          <t>Phoenix Contact</t>
        </is>
      </c>
      <c r="E31" s="7" t="inlineStr">
        <is>
          <t>RIF-1-RPT-LDP-24DC [PROPOSED]</t>
        </is>
      </c>
      <c r="F31" s="9" t="n">
        <v>1</v>
      </c>
      <c r="G31" s="10" t="n">
        <v>34</v>
      </c>
      <c r="H31" s="11">
        <f>F31*G31</f>
        <v/>
      </c>
      <c r="I31" s="7" t="inlineStr">
        <is>
          <t>EST</t>
        </is>
      </c>
      <c r="J31" s="8" t="inlineStr">
        <is>
          <t>REV K R-01: normally-energized; dry contacts to Kehua EPO via X23</t>
        </is>
      </c>
    </row>
    <row r="32">
      <c r="A32" s="7" t="n">
        <v>22</v>
      </c>
      <c r="B32" s="7" t="inlineStr">
        <is>
          <t>BD1</t>
        </is>
      </c>
      <c r="C32" s="8" t="inlineStr">
        <is>
          <t>N-G bond kit #8 AWG Cu + lugs + label</t>
        </is>
      </c>
      <c r="D32" s="7" t="inlineStr">
        <is>
          <t>Ilsco</t>
        </is>
      </c>
      <c r="E32" s="7" t="inlineStr">
        <is>
          <t>[kit per shop practice]</t>
        </is>
      </c>
      <c r="F32" s="9" t="n">
        <v>1</v>
      </c>
      <c r="G32" s="10" t="n">
        <v>9</v>
      </c>
      <c r="H32" s="11">
        <f>F32*G32</f>
        <v/>
      </c>
      <c r="I32" s="7" t="inlineStr">
        <is>
          <t>EST</t>
        </is>
      </c>
      <c r="J32" s="8" t="inlineStr">
        <is>
          <t>NEC 250.30 at CPT - the ONLY panel-side bond</t>
        </is>
      </c>
    </row>
    <row r="33">
      <c r="C33" s="12" t="inlineStr">
        <is>
          <t>Subtotal - SHEET 3 - CONTROL POWER + 24VDC (REV K RESTRUCTURE)</t>
        </is>
      </c>
      <c r="H33" s="13">
        <f>SUM(H19:H32)</f>
        <v/>
      </c>
    </row>
    <row r="35">
      <c r="A35" s="5" t="inlineStr">
        <is>
          <t>SHEET 4 - AUX DISTRIBUTION + ENCLOSURE CLIMATE (REV K)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7" t="n">
        <v>23</v>
      </c>
      <c r="B36" s="7" t="inlineStr">
        <is>
          <t>Q2</t>
        </is>
      </c>
      <c r="C36" s="8" t="inlineStr">
        <is>
          <t>Aux main breaker 25A 3P, 480Y/277V UL489, marked IR</t>
        </is>
      </c>
      <c r="D36" s="7" t="inlineStr">
        <is>
          <t>ABB</t>
        </is>
      </c>
      <c r="E36" s="7" t="inlineStr">
        <is>
          <t>SU203M-C25 [PROPOSED]</t>
        </is>
      </c>
      <c r="F36" s="9" t="n">
        <v>1</v>
      </c>
      <c r="G36" s="10" t="n">
        <v>96</v>
      </c>
      <c r="H36" s="11">
        <f>F36*G36</f>
        <v/>
      </c>
      <c r="I36" s="7" t="inlineStr">
        <is>
          <t>EST</t>
        </is>
      </c>
      <c r="J36" s="8" t="inlineStr">
        <is>
          <t>UL508A incoming disconnect for 380Y feeder</t>
        </is>
      </c>
    </row>
    <row r="37">
      <c r="A37" s="7" t="n">
        <v>24</v>
      </c>
      <c r="B37" s="7" t="inlineStr">
        <is>
          <t>CB3,CB5,CB7</t>
        </is>
      </c>
      <c r="C37" s="8" t="inlineStr">
        <is>
          <t>Branch breaker 20A 1P UL489, C-curve, 480Y/277V, 10kA</t>
        </is>
      </c>
      <c r="D37" s="7" t="inlineStr">
        <is>
          <t>ABB</t>
        </is>
      </c>
      <c r="E37" s="7" t="inlineStr">
        <is>
          <t>SU201M-C20 [PROPOSED - REV K R-04]</t>
        </is>
      </c>
      <c r="F37" s="9" t="n">
        <v>3</v>
      </c>
      <c r="G37" s="10" t="n">
        <v>42</v>
      </c>
      <c r="H37" s="11">
        <f>F37*G37</f>
        <v/>
      </c>
      <c r="I37" s="7" t="inlineStr">
        <is>
          <t>EST</t>
        </is>
      </c>
      <c r="J37" s="8" t="inlineStr">
        <is>
          <t>380V L-L clearing duty per NEC 240.85; final value pends CATL RLA/MCA at RFI-002 (Art. 440)</t>
        </is>
      </c>
    </row>
    <row r="38">
      <c r="A38" s="7" t="n">
        <v>25</v>
      </c>
      <c r="B38" s="7" t="inlineStr">
        <is>
          <t>CB4,CB6,CB8</t>
        </is>
      </c>
      <c r="C38" s="8" t="inlineStr">
        <is>
          <t>Branch breaker 6A 1P UL489, C-curve, 480Y/277V, 10kA</t>
        </is>
      </c>
      <c r="D38" s="7" t="inlineStr">
        <is>
          <t>ABB</t>
        </is>
      </c>
      <c r="E38" s="7" t="inlineStr">
        <is>
          <t>SU201M-C6 [PROPOSED - REV K R-04]</t>
        </is>
      </c>
      <c r="F38" s="9" t="n">
        <v>3</v>
      </c>
      <c r="G38" s="10" t="n">
        <v>42</v>
      </c>
      <c r="H38" s="11">
        <f>F38*G38</f>
        <v/>
      </c>
      <c r="I38" s="7" t="inlineStr">
        <is>
          <t>EST</t>
        </is>
      </c>
      <c r="J38" s="8" t="inlineStr">
        <is>
          <t>CATL BMS: 135W/2.3A, 6A &lt;1s inrush</t>
        </is>
      </c>
    </row>
    <row r="39">
      <c r="A39" s="7" t="n">
        <v>26</v>
      </c>
      <c r="B39" s="7" t="inlineStr">
        <is>
          <t>CB10</t>
        </is>
      </c>
      <c r="C39" s="8" t="inlineStr">
        <is>
          <t>Enclosure A/C breaker 10A 1P UL489, 480Y/277V, lockable</t>
        </is>
      </c>
      <c r="D39" s="7" t="inlineStr">
        <is>
          <t>ABB</t>
        </is>
      </c>
      <c r="E39" s="7" t="inlineStr">
        <is>
          <t>SU201M-C10 + MSL-2 [PROPOSED]</t>
        </is>
      </c>
      <c r="F39" s="9" t="n">
        <v>1</v>
      </c>
      <c r="G39" s="10" t="n">
        <v>48</v>
      </c>
      <c r="H39" s="11">
        <f>F39*G39</f>
        <v/>
      </c>
      <c r="I39" s="7" t="inlineStr">
        <is>
          <t>EST</t>
        </is>
      </c>
      <c r="J39" s="8" t="inlineStr">
        <is>
          <t>REV K R-03: NEC 440.14 disconnect = this breaker; final per unit MCA/MOCP</t>
        </is>
      </c>
    </row>
    <row r="40">
      <c r="A40" s="7" t="n">
        <v>27</v>
      </c>
      <c r="B40" s="7" t="inlineStr">
        <is>
          <t>CB11</t>
        </is>
      </c>
      <c r="C40" s="8" t="inlineStr">
        <is>
          <t>Enclosure heater breaker 6A 1P UL489, 480Y/277V</t>
        </is>
      </c>
      <c r="D40" s="7" t="inlineStr">
        <is>
          <t>ABB</t>
        </is>
      </c>
      <c r="E40" s="7" t="inlineStr">
        <is>
          <t>SU201M-C6 [PROPOSED]</t>
        </is>
      </c>
      <c r="F40" s="9" t="n">
        <v>1</v>
      </c>
      <c r="G40" s="10" t="n">
        <v>42</v>
      </c>
      <c r="H40" s="11">
        <f>F40*G40</f>
        <v/>
      </c>
      <c r="I40" s="7" t="inlineStr">
        <is>
          <t>EST</t>
        </is>
      </c>
      <c r="J40" s="8" t="inlineStr">
        <is>
          <t>REV K R-03</t>
        </is>
      </c>
    </row>
    <row r="41">
      <c r="A41" s="7" t="n">
        <v>28</v>
      </c>
      <c r="B41" s="7" t="inlineStr">
        <is>
          <t>AC1</t>
        </is>
      </c>
      <c r="C41" s="8" t="inlineStr">
        <is>
          <t>Enclosure A/C, 230V, ~1500 BTU/h [final per heat balance]</t>
        </is>
      </c>
      <c r="D41" s="7" t="inlineStr">
        <is>
          <t>Pfannenberg/nVent</t>
        </is>
      </c>
      <c r="E41" s="7" t="inlineStr">
        <is>
          <t>DTS 3141 230V class [SELECT AT IFC]</t>
        </is>
      </c>
      <c r="F41" s="9" t="n">
        <v>1</v>
      </c>
      <c r="G41" s="10" t="n">
        <v>1480</v>
      </c>
      <c r="H41" s="11">
        <f>F41*G41</f>
        <v/>
      </c>
      <c r="I41" s="7" t="inlineStr">
        <is>
          <t>EST</t>
        </is>
      </c>
      <c r="J41" s="8" t="inlineStr">
        <is>
          <t>REV K R-03: now a REAL circuit (CB10); heat-balance sheet governs final size</t>
        </is>
      </c>
    </row>
    <row r="42">
      <c r="A42" s="7" t="n">
        <v>29</v>
      </c>
      <c r="B42" s="7" t="inlineStr">
        <is>
          <t>HTR1,TH1</t>
        </is>
      </c>
      <c r="C42" s="8" t="inlineStr">
        <is>
          <t>Anti-condensation heater 100W + NC thermostat</t>
        </is>
      </c>
      <c r="D42" s="7" t="inlineStr">
        <is>
          <t>Stego</t>
        </is>
      </c>
      <c r="E42" s="7" t="inlineStr">
        <is>
          <t>HGL 046 + KTO 011 [PROPOSED]</t>
        </is>
      </c>
      <c r="F42" s="9" t="n">
        <v>1</v>
      </c>
      <c r="G42" s="10" t="n">
        <v>135</v>
      </c>
      <c r="H42" s="11">
        <f>F42*G42</f>
        <v/>
      </c>
      <c r="I42" s="7" t="inlineStr">
        <is>
          <t>EST</t>
        </is>
      </c>
      <c r="J42" s="8" t="inlineStr">
        <is>
          <t>REV K R-03: now a real circuit (CB11/TH1)</t>
        </is>
      </c>
    </row>
    <row r="43">
      <c r="A43" s="7" t="n">
        <v>30</v>
      </c>
      <c r="B43" s="7" t="inlineStr"/>
      <c r="C43" s="8" t="inlineStr">
        <is>
          <t>Warning label set per LABEL SCHEDULE Z1SL-SCH-001 (409.110 nameplate, 409.22(B), 110.16 arc flash, TWO SOURCES, FIRE ALARM CIRCUIT, ESS signage)</t>
        </is>
      </c>
      <c r="D43" s="7" t="inlineStr">
        <is>
          <t>-</t>
        </is>
      </c>
      <c r="E43" s="7" t="inlineStr">
        <is>
          <t>-</t>
        </is>
      </c>
      <c r="F43" s="9" t="n">
        <v>1</v>
      </c>
      <c r="G43" s="10" t="n">
        <v>95</v>
      </c>
      <c r="H43" s="11">
        <f>F43*G43</f>
        <v/>
      </c>
      <c r="I43" s="7" t="inlineStr">
        <is>
          <t>EST</t>
        </is>
      </c>
      <c r="J43" s="8" t="inlineStr">
        <is>
          <t>REV K R-17: full schedule replaces ad-hoc labels</t>
        </is>
      </c>
    </row>
    <row r="44">
      <c r="A44" s="7" t="n">
        <v>31</v>
      </c>
      <c r="B44" s="7" t="inlineStr">
        <is>
          <t>TB2-TB4</t>
        </is>
      </c>
      <c r="C44" s="8" t="inlineStr">
        <is>
          <t>Feed-through TB, UT 6 + UT 6-PE, cabinet aux circuits</t>
        </is>
      </c>
      <c r="D44" s="7" t="inlineStr">
        <is>
          <t>Phoenix Contact</t>
        </is>
      </c>
      <c r="E44" s="7" t="inlineStr">
        <is>
          <t>UT 6 / UT 6-PE</t>
        </is>
      </c>
      <c r="F44" s="9" t="n">
        <v>15</v>
      </c>
      <c r="G44" s="10" t="n">
        <v>3.4</v>
      </c>
      <c r="H44" s="11">
        <f>F44*G44</f>
        <v/>
      </c>
      <c r="I44" s="7" t="inlineStr">
        <is>
          <t>EST</t>
        </is>
      </c>
      <c r="J44" s="8" t="inlineStr">
        <is>
          <t>HVAC L/N + BMS L/N + PE per cabinet</t>
        </is>
      </c>
    </row>
    <row r="45">
      <c r="C45" s="12" t="inlineStr">
        <is>
          <t>Subtotal - SHEET 4 - AUX DISTRIBUTION + ENCLOSURE CLIMATE (REV K)</t>
        </is>
      </c>
      <c r="H45" s="13">
        <f>SUM(H36:H44)</f>
        <v/>
      </c>
    </row>
    <row r="47">
      <c r="A47" s="5" t="inlineStr">
        <is>
          <t>SHEET 5 - EMS + NETWORKING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7" t="n">
        <v>32</v>
      </c>
      <c r="B48" s="7" t="inlineStr">
        <is>
          <t>CPU1,CPU2</t>
        </is>
      </c>
      <c r="C48" s="8" t="inlineStr">
        <is>
          <t>EMS computer, Arm DIN-rail, Linux (Battalion image)</t>
        </is>
      </c>
      <c r="D48" s="7" t="inlineStr">
        <is>
          <t>Moxa</t>
        </is>
      </c>
      <c r="E48" s="7" t="inlineStr">
        <is>
          <t>UC-2222A-T-US</t>
        </is>
      </c>
      <c r="F48" s="9" t="n">
        <v>2</v>
      </c>
      <c r="G48" s="10" t="n">
        <v>854.26</v>
      </c>
      <c r="H48" s="11">
        <f>F48*G48</f>
        <v/>
      </c>
      <c r="I48" s="7" t="inlineStr">
        <is>
          <t>QUOTED</t>
        </is>
      </c>
      <c r="J48" s="8" t="inlineStr">
        <is>
          <t>shopmoxa.neteon.net 2026-08 (backorder - check lead time)</t>
        </is>
      </c>
    </row>
    <row r="49">
      <c r="A49" s="7" t="n">
        <v>33</v>
      </c>
      <c r="B49" s="7" t="inlineStr">
        <is>
          <t>SW1</t>
        </is>
      </c>
      <c r="C49" s="8" t="inlineStr">
        <is>
          <t>Managed switch 14-port, VLAN, DIN</t>
        </is>
      </c>
      <c r="D49" s="7" t="inlineStr">
        <is>
          <t>Moxa</t>
        </is>
      </c>
      <c r="E49" s="7" t="inlineStr">
        <is>
          <t>EDS-4014 [VERIFY variant w/ Battalion]</t>
        </is>
      </c>
      <c r="F49" s="9" t="n">
        <v>1</v>
      </c>
      <c r="G49" s="10" t="n">
        <v>790</v>
      </c>
      <c r="H49" s="11">
        <f>F49*G49</f>
        <v/>
      </c>
      <c r="I49" s="7" t="inlineStr">
        <is>
          <t>EST</t>
        </is>
      </c>
      <c r="J49" s="8" t="inlineStr">
        <is>
          <t>VLAN 10/20/30 config sheet in Z1SL-SCH-001</t>
        </is>
      </c>
    </row>
    <row r="50">
      <c r="A50" s="7" t="n">
        <v>34</v>
      </c>
      <c r="B50" s="7" t="inlineStr">
        <is>
          <t>IO1</t>
        </is>
      </c>
      <c r="C50" s="8" t="inlineStr">
        <is>
          <t>Remote I/O, 6 DI / 6 relay DO, Ethernet</t>
        </is>
      </c>
      <c r="D50" s="7" t="inlineStr">
        <is>
          <t>Moxa</t>
        </is>
      </c>
      <c r="E50" s="7" t="inlineStr">
        <is>
          <t>ioLogik E1214</t>
        </is>
      </c>
      <c r="F50" s="9" t="n">
        <v>1</v>
      </c>
      <c r="G50" s="10" t="n">
        <v>265</v>
      </c>
      <c r="H50" s="11">
        <f>F50*G50</f>
        <v/>
      </c>
      <c r="I50" s="7" t="inlineStr">
        <is>
          <t>EST</t>
        </is>
      </c>
      <c r="J50" s="8" t="inlineStr">
        <is>
          <t>FACP ALM/SUP/TRB (N/C, REV K) + RM1/RM2/UPS1 health (REV K R-09)</t>
        </is>
      </c>
    </row>
    <row r="51">
      <c r="A51" s="7" t="n">
        <v>35</v>
      </c>
      <c r="B51" s="7" t="inlineStr"/>
      <c r="C51" s="8" t="inlineStr">
        <is>
          <t>Cat 6A shielded patch cords, assorted 0.5-3m</t>
        </is>
      </c>
      <c r="D51" s="7" t="inlineStr">
        <is>
          <t>Panduit or equal</t>
        </is>
      </c>
      <c r="E51" s="7" t="inlineStr">
        <is>
          <t>-</t>
        </is>
      </c>
      <c r="F51" s="9" t="n">
        <v>14</v>
      </c>
      <c r="G51" s="10" t="n">
        <v>11</v>
      </c>
      <c r="H51" s="11">
        <f>F51*G51</f>
        <v/>
      </c>
      <c r="I51" s="7" t="inlineStr">
        <is>
          <t>EST</t>
        </is>
      </c>
      <c r="J51" s="8" t="inlineStr">
        <is>
          <t>Cat 6A per CATL spec; one SKU panel-wide</t>
        </is>
      </c>
    </row>
    <row r="52">
      <c r="C52" s="12" t="inlineStr">
        <is>
          <t>Subtotal - SHEET 5 - EMS + NETWORKING</t>
        </is>
      </c>
      <c r="H52" s="13">
        <f>SUM(H48:H51)</f>
        <v/>
      </c>
    </row>
    <row r="54">
      <c r="A54" s="5" t="inlineStr">
        <is>
          <t>SHEET 6 - MBMU + CAN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7" t="n">
        <v>36</v>
      </c>
      <c r="B55" s="7" t="inlineStr">
        <is>
          <t>MBMU1-3</t>
        </is>
      </c>
      <c r="C55" s="8" t="inlineStr">
        <is>
          <t>Master BMS unit</t>
        </is>
      </c>
      <c r="D55" s="7" t="inlineStr">
        <is>
          <t>CATL</t>
        </is>
      </c>
      <c r="E55" s="7" t="inlineStr">
        <is>
          <t>-</t>
        </is>
      </c>
      <c r="F55" s="9" t="n">
        <v>3</v>
      </c>
      <c r="G55" s="10" t="n">
        <v>0</v>
      </c>
      <c r="H55" s="11">
        <f>F55*G55</f>
        <v/>
      </c>
      <c r="I55" s="7" t="inlineStr">
        <is>
          <t>CATL</t>
        </is>
      </c>
      <c r="J55" s="8" t="inlineStr">
        <is>
          <t>Supplied with EnerOne+ cabinets - $0 to panel BOM</t>
        </is>
      </c>
    </row>
    <row r="56">
      <c r="A56" s="7" t="n">
        <v>37</v>
      </c>
      <c r="B56" s="7" t="inlineStr">
        <is>
          <t>EM1-3</t>
        </is>
      </c>
      <c r="C56" s="8" t="inlineStr">
        <is>
          <t>ETH comms module</t>
        </is>
      </c>
      <c r="D56" s="7" t="inlineStr">
        <is>
          <t>CATL</t>
        </is>
      </c>
      <c r="E56" s="7" t="inlineStr">
        <is>
          <t>-</t>
        </is>
      </c>
      <c r="F56" s="9" t="n">
        <v>3</v>
      </c>
      <c r="G56" s="10" t="n">
        <v>0</v>
      </c>
      <c r="H56" s="11">
        <f>F56*G56</f>
        <v/>
      </c>
      <c r="I56" s="7" t="inlineStr">
        <is>
          <t>CATL</t>
        </is>
      </c>
      <c r="J56" s="8" t="inlineStr">
        <is>
          <t>Supplied with cabinets</t>
        </is>
      </c>
    </row>
    <row r="57">
      <c r="A57" s="7" t="n">
        <v>38</v>
      </c>
      <c r="B57" s="7" t="inlineStr">
        <is>
          <t>R1-R3</t>
        </is>
      </c>
      <c r="C57" s="8" t="inlineStr">
        <is>
          <t>Termination resistor 60R 0.25W - crimped into MBMU J5.33/34</t>
        </is>
      </c>
      <c r="D57" s="7" t="inlineStr">
        <is>
          <t>-</t>
        </is>
      </c>
      <c r="E57" s="7" t="inlineStr">
        <is>
          <t>-</t>
        </is>
      </c>
      <c r="F57" s="9" t="n">
        <v>3</v>
      </c>
      <c r="G57" s="10" t="n">
        <v>0.8</v>
      </c>
      <c r="H57" s="11">
        <f>F57*G57</f>
        <v/>
      </c>
      <c r="I57" s="7" t="inlineStr">
        <is>
          <t>EST</t>
        </is>
      </c>
      <c r="J57" s="8" t="inlineStr">
        <is>
          <t>CARSON AS-BUILT. Commission check: J902.21/22 ~60R expected; if ~30R remove (over-termination). ICD item</t>
        </is>
      </c>
    </row>
    <row r="58">
      <c r="A58" s="7" t="n">
        <v>39</v>
      </c>
      <c r="B58" s="7" t="inlineStr">
        <is>
          <t>TB5-TB7</t>
        </is>
      </c>
      <c r="C58" s="8" t="inlineStr">
        <is>
          <t>TB, UK 5 N insulated feed-through (CAN H/L)</t>
        </is>
      </c>
      <c r="D58" s="7" t="inlineStr">
        <is>
          <t>Phoenix Contact</t>
        </is>
      </c>
      <c r="E58" s="7" t="inlineStr">
        <is>
          <t>UK 5 N</t>
        </is>
      </c>
      <c r="F58" s="9" t="n">
        <v>6</v>
      </c>
      <c r="G58" s="10" t="n">
        <v>1.8</v>
      </c>
      <c r="H58" s="11">
        <f>F58*G58</f>
        <v/>
      </c>
      <c r="I58" s="7" t="inlineStr">
        <is>
          <t>EST</t>
        </is>
      </c>
      <c r="J58" s="8" t="inlineStr">
        <is>
          <t>REV J FIX retained: not USLKG ground blocks</t>
        </is>
      </c>
    </row>
    <row r="59">
      <c r="A59" s="7" t="n">
        <v>40</v>
      </c>
      <c r="B59" s="7" t="inlineStr">
        <is>
          <t>SB1-SB3</t>
        </is>
      </c>
      <c r="C59" s="8" t="inlineStr">
        <is>
          <t>TB, USLKG 5 ground block - CAN SHIELD POLES ONLY</t>
        </is>
      </c>
      <c r="D59" s="7" t="inlineStr">
        <is>
          <t>Phoenix Contact</t>
        </is>
      </c>
      <c r="E59" s="7" t="inlineStr">
        <is>
          <t>USLKG 5</t>
        </is>
      </c>
      <c r="F59" s="9" t="n">
        <v>3</v>
      </c>
      <c r="G59" s="10" t="n">
        <v>2.9</v>
      </c>
      <c r="H59" s="11">
        <f>F59*G59</f>
        <v/>
      </c>
      <c r="I59" s="7" t="inlineStr">
        <is>
          <t>EST</t>
        </is>
      </c>
      <c r="J59" s="8" t="inlineStr">
        <is>
          <t>Single-point shield ground, one per cabinet, in netlist</t>
        </is>
      </c>
    </row>
    <row r="60">
      <c r="A60" s="7" t="n">
        <v>41</v>
      </c>
      <c r="B60" s="7" t="inlineStr"/>
      <c r="C60" s="8" t="inlineStr">
        <is>
          <t>Crimp contact, MX34 0.5mm2 signal (CAN/COMM/24V)</t>
        </is>
      </c>
      <c r="D60" s="7" t="inlineStr">
        <is>
          <t>JAE</t>
        </is>
      </c>
      <c r="E60" s="7" t="inlineStr">
        <is>
          <t>M34S75C4F2</t>
        </is>
      </c>
      <c r="F60" s="9" t="n">
        <v>60</v>
      </c>
      <c r="G60" s="10" t="n">
        <v>0.35</v>
      </c>
      <c r="H60" s="11">
        <f>F60*G60</f>
        <v/>
      </c>
      <c r="I60" s="7" t="inlineStr">
        <is>
          <t>EST</t>
        </is>
      </c>
      <c r="J60" s="8" t="inlineStr">
        <is>
          <t>REV K R-44: MX34JAHL connector system is JAE (was mis-attributed Molex); qty incl spares</t>
        </is>
      </c>
    </row>
    <row r="61">
      <c r="A61" s="7" t="n">
        <v>42</v>
      </c>
      <c r="B61" s="7" t="inlineStr"/>
      <c r="C61" s="8" t="inlineStr">
        <is>
          <t>Crimp contact, MX34 CAN-shield DEDICATED</t>
        </is>
      </c>
      <c r="D61" s="7" t="inlineStr">
        <is>
          <t>JAE</t>
        </is>
      </c>
      <c r="E61" s="7" t="inlineStr">
        <is>
          <t>M34S75C4F3</t>
        </is>
      </c>
      <c r="F61" s="9" t="n">
        <v>12</v>
      </c>
      <c r="G61" s="10" t="n">
        <v>0.4</v>
      </c>
      <c r="H61" s="11">
        <f>F61*G61</f>
        <v/>
      </c>
      <c r="I61" s="7" t="inlineStr">
        <is>
          <t>EST</t>
        </is>
      </c>
      <c r="J61" s="8" t="inlineStr">
        <is>
          <t>Shield uses its own contact type per CATL SOP</t>
        </is>
      </c>
    </row>
    <row r="62">
      <c r="A62" s="7" t="n">
        <v>43</v>
      </c>
      <c r="B62" s="7" t="inlineStr"/>
      <c r="C62" s="8" t="inlineStr">
        <is>
          <t>Connector plugs J5/J3/J902 (360242-00175/-00136/-00078) + JX1/JX2 (-00813/-00814)</t>
        </is>
      </c>
      <c r="D62" s="7" t="inlineStr">
        <is>
          <t>CATL/Recodeal</t>
        </is>
      </c>
      <c r="E62" s="7" t="inlineStr">
        <is>
          <t>-</t>
        </is>
      </c>
      <c r="F62" s="9" t="n">
        <v>0</v>
      </c>
      <c r="G62" s="10" t="n">
        <v>0</v>
      </c>
      <c r="H62" s="11">
        <f>F62*G62</f>
        <v/>
      </c>
      <c r="I62" s="7" t="inlineStr">
        <is>
          <t>CATL</t>
        </is>
      </c>
      <c r="J62" s="8" t="inlineStr">
        <is>
          <t>Normally supplied with cabinets - VERIFY at order (REV K R-45: CATL scope, not panel scope)</t>
        </is>
      </c>
    </row>
    <row r="63">
      <c r="A63" s="7" t="n">
        <v>44</v>
      </c>
      <c r="B63" s="7" t="inlineStr"/>
      <c r="C63" s="8" t="inlineStr">
        <is>
          <t>AWG10 JONHON aux adapter cables at JXH1 (plug 360242-00760)</t>
        </is>
      </c>
      <c r="D63" s="7" t="inlineStr">
        <is>
          <t>CATL</t>
        </is>
      </c>
      <c r="E63" s="7" t="inlineStr">
        <is>
          <t>-</t>
        </is>
      </c>
      <c r="F63" s="9" t="n">
        <v>0</v>
      </c>
      <c r="G63" s="10" t="n">
        <v>0</v>
      </c>
      <c r="H63" s="11">
        <f>F63*G63</f>
        <v/>
      </c>
      <c r="I63" s="7" t="inlineStr">
        <is>
          <t>CATL</t>
        </is>
      </c>
      <c r="J63" s="8" t="inlineStr">
        <is>
          <t>A/B chiller, C/D BMS; supplied w/ cabinet - VERIFY (CATL scope)</t>
        </is>
      </c>
    </row>
    <row r="64">
      <c r="C64" s="12" t="inlineStr">
        <is>
          <t>Subtotal - SHEET 6 - MBMU + CAN</t>
        </is>
      </c>
      <c r="H64" s="13">
        <f>SUM(H55:H63)</f>
        <v/>
      </c>
    </row>
    <row r="66">
      <c r="A66" s="5" t="inlineStr">
        <is>
          <t>SHEETS 7+9 - FIRE ALARM + RELEASING (OPTION B, REV K)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7" t="n">
        <v>45</v>
      </c>
      <c r="B67" s="7" t="inlineStr">
        <is>
          <t>FACP1</t>
        </is>
      </c>
      <c r="C67" s="8" t="inlineStr">
        <is>
          <t>Addressable releasing FACP, 100-pt</t>
        </is>
      </c>
      <c r="D67" s="7" t="inlineStr">
        <is>
          <t>Potter</t>
        </is>
      </c>
      <c r="E67" s="7" t="inlineStr">
        <is>
          <t>ARC-100</t>
        </is>
      </c>
      <c r="F67" s="9" t="n">
        <v>1</v>
      </c>
      <c r="G67" s="10" t="n">
        <v>1554</v>
      </c>
      <c r="H67" s="11">
        <f>F67*G67</f>
        <v/>
      </c>
      <c r="I67" s="7" t="inlineStr">
        <is>
          <t>QUOTED</t>
        </is>
      </c>
      <c r="J67" s="8" t="inlineStr">
        <is>
          <t>firealarm.com 2026-08; relay 26/27 programmed normally-energized for PCS trip (REV K R-01)</t>
        </is>
      </c>
    </row>
    <row r="68">
      <c r="A68" s="7" t="n">
        <v>46</v>
      </c>
      <c r="B68" s="7" t="inlineStr">
        <is>
          <t>FACP1</t>
        </is>
      </c>
      <c r="C68" s="8" t="inlineStr">
        <is>
          <t>Class A SLC expansion card (installs in FACP1)</t>
        </is>
      </c>
      <c r="D68" s="7" t="inlineStr">
        <is>
          <t>Potter</t>
        </is>
      </c>
      <c r="E68" s="7" t="inlineStr">
        <is>
          <t>CA-6075</t>
        </is>
      </c>
      <c r="F68" s="9" t="n">
        <v>1</v>
      </c>
      <c r="G68" s="10" t="n">
        <v>268</v>
      </c>
      <c r="H68" s="11">
        <f>F68*G68</f>
        <v/>
      </c>
      <c r="I68" s="7" t="inlineStr">
        <is>
          <t>EST</t>
        </is>
      </c>
      <c r="J68" s="8" t="inlineStr">
        <is>
          <t>Class A loop: panel &gt; cab1 &gt; cab2 &gt; cab3 &gt; panel, rack-to-rack (REV K R-11)</t>
        </is>
      </c>
    </row>
    <row r="69">
      <c r="A69" s="7" t="n">
        <v>47</v>
      </c>
      <c r="B69" s="7" t="inlineStr">
        <is>
          <t>PSN1</t>
        </is>
      </c>
      <c r="C69" s="8" t="inlineStr">
        <is>
          <t>Listed releasing/aux power supply 10A (3A/ckt)</t>
        </is>
      </c>
      <c r="D69" s="7" t="inlineStr">
        <is>
          <t>Potter</t>
        </is>
      </c>
      <c r="E69" s="7" t="inlineStr">
        <is>
          <t>PSN-1000</t>
        </is>
      </c>
      <c r="F69" s="9" t="n">
        <v>1</v>
      </c>
      <c r="G69" s="10" t="n">
        <v>640</v>
      </c>
      <c r="H69" s="11">
        <f>F69*G69</f>
        <v/>
      </c>
      <c r="I69" s="7" t="inlineStr">
        <is>
          <t>EST</t>
        </is>
      </c>
      <c r="J69" s="8" t="inlineStr">
        <is>
          <t>REV K R-12: now a REAL component (was contingency) - 1.1375A/cab alarm load vs ARC-100 1A I/O rating; own battery + NFPA 72 calc</t>
        </is>
      </c>
    </row>
    <row r="70">
      <c r="A70" s="7" t="n">
        <v>48</v>
      </c>
      <c r="B70" s="7" t="inlineStr">
        <is>
          <t>BAT1,BAT2</t>
        </is>
      </c>
      <c r="C70" s="8" t="inlineStr">
        <is>
          <t>Battery 12V 8Ah SLA (FACP)</t>
        </is>
      </c>
      <c r="D70" s="7" t="inlineStr">
        <is>
          <t>Power-Sonic</t>
        </is>
      </c>
      <c r="E70" s="7" t="inlineStr">
        <is>
          <t>PS-1280</t>
        </is>
      </c>
      <c r="F70" s="9" t="n">
        <v>2</v>
      </c>
      <c r="G70" s="10" t="n">
        <v>33</v>
      </c>
      <c r="H70" s="11">
        <f>F70*G70</f>
        <v/>
      </c>
      <c r="I70" s="7" t="inlineStr">
        <is>
          <t>EST</t>
        </is>
      </c>
      <c r="J70" s="8" t="inlineStr">
        <is>
          <t>Worksheet NFPA72-W1: 4.73Ah req (24h + 5min); 2h CATL term with AHJ</t>
        </is>
      </c>
    </row>
    <row r="71">
      <c r="A71" s="7" t="n">
        <v>49</v>
      </c>
      <c r="B71" s="7" t="inlineStr">
        <is>
          <t>BAT3,BAT4</t>
        </is>
      </c>
      <c r="C71" s="8" t="inlineStr">
        <is>
          <t>Battery 12V 8Ah SLA (PSN1, REV K)</t>
        </is>
      </c>
      <c r="D71" s="7" t="inlineStr">
        <is>
          <t>Power-Sonic</t>
        </is>
      </c>
      <c r="E71" s="7" t="inlineStr">
        <is>
          <t>PS-1280</t>
        </is>
      </c>
      <c r="F71" s="9" t="n">
        <v>2</v>
      </c>
      <c r="G71" s="10" t="n">
        <v>33</v>
      </c>
      <c r="H71" s="11">
        <f>F71*G71</f>
        <v/>
      </c>
      <c r="I71" s="7" t="inlineStr">
        <is>
          <t>EST</t>
        </is>
      </c>
      <c r="J71" s="8" t="inlineStr">
        <is>
          <t>PSN-1000 separate secondary supply calc in NFPA72-W1</t>
        </is>
      </c>
    </row>
    <row r="72">
      <c r="A72" s="7" t="n">
        <v>50</v>
      </c>
      <c r="B72" s="7" t="inlineStr">
        <is>
          <t>DS1</t>
        </is>
      </c>
      <c r="C72" s="8" t="inlineStr">
        <is>
          <t>Releasing service disconnect, 3-ckt, lockable, position-supervised</t>
        </is>
      </c>
      <c r="D72" s="7" t="inlineStr">
        <is>
          <t>Potter/equal</t>
        </is>
      </c>
      <c r="E72" s="7" t="inlineStr">
        <is>
          <t>[CONFIRM LISTED DEVICE AT ICD]</t>
        </is>
      </c>
      <c r="F72" s="9" t="n">
        <v>1</v>
      </c>
      <c r="G72" s="10" t="n">
        <v>180</v>
      </c>
      <c r="H72" s="11">
        <f>F72*G72</f>
        <v/>
      </c>
      <c r="I72" s="7" t="inlineStr">
        <is>
          <t>EST</t>
        </is>
      </c>
      <c r="J72" s="8" t="inlineStr">
        <is>
          <t>REV K R-15: maintenance disable for all three releasing circuits; monitored via MM1</t>
        </is>
      </c>
    </row>
    <row r="73">
      <c r="A73" s="7" t="n">
        <v>51</v>
      </c>
      <c r="B73" s="7" t="inlineStr">
        <is>
          <t>MM1-MM3</t>
        </is>
      </c>
      <c r="C73" s="8" t="inlineStr">
        <is>
          <t>SLC monitor module (DS1 position / PSN trouble / manual release)</t>
        </is>
      </c>
      <c r="D73" s="7" t="inlineStr">
        <is>
          <t>Potter</t>
        </is>
      </c>
      <c r="E73" s="7" t="inlineStr">
        <is>
          <t>PAD100-IM [CONFIRM]</t>
        </is>
      </c>
      <c r="F73" s="9" t="n">
        <v>3</v>
      </c>
      <c r="G73" s="10" t="n">
        <v>92</v>
      </c>
      <c r="H73" s="11">
        <f>F73*G73</f>
        <v/>
      </c>
      <c r="I73" s="7" t="inlineStr">
        <is>
          <t>EST</t>
        </is>
      </c>
      <c r="J73" s="8" t="inlineStr">
        <is>
          <t>REV K: supervision of releasing-chain auxiliaries on the SLC</t>
        </is>
      </c>
    </row>
    <row r="74">
      <c r="A74" s="7" t="n">
        <v>52</v>
      </c>
      <c r="B74" s="7" t="inlineStr">
        <is>
          <t>SIR1</t>
        </is>
      </c>
      <c r="C74" s="8" t="inlineStr">
        <is>
          <t>Siren, 24VDC, panel mount</t>
        </is>
      </c>
      <c r="D74" s="7" t="inlineStr">
        <is>
          <t>Potter</t>
        </is>
      </c>
      <c r="E74" s="7" t="inlineStr">
        <is>
          <t>SQ-24 class [PROPOSED]</t>
        </is>
      </c>
      <c r="F74" s="9" t="n">
        <v>1</v>
      </c>
      <c r="G74" s="10" t="n">
        <v>68</v>
      </c>
      <c r="H74" s="11">
        <f>F74*G74</f>
        <v/>
      </c>
      <c r="I74" s="7" t="inlineStr">
        <is>
          <t>EST</t>
        </is>
      </c>
      <c r="J74" s="8" t="inlineStr">
        <is>
          <t>Top left of enclosure per Carson</t>
        </is>
      </c>
    </row>
    <row r="75">
      <c r="A75" s="7" t="n">
        <v>53</v>
      </c>
      <c r="B75" s="7" t="inlineStr">
        <is>
          <t>STB1</t>
        </is>
      </c>
      <c r="C75" s="8" t="inlineStr">
        <is>
          <t>Strobe/horn</t>
        </is>
      </c>
      <c r="D75" s="7" t="inlineStr">
        <is>
          <t>Eaton</t>
        </is>
      </c>
      <c r="E75" s="7" t="inlineStr">
        <is>
          <t>HT8AEHA (per Carson)</t>
        </is>
      </c>
      <c r="F75" s="9" t="n">
        <v>1</v>
      </c>
      <c r="G75" s="10" t="n">
        <v>215</v>
      </c>
      <c r="H75" s="11">
        <f>F75*G75</f>
        <v/>
      </c>
      <c r="I75" s="7" t="inlineStr">
        <is>
          <t>EST</t>
        </is>
      </c>
      <c r="J75" s="8" t="inlineStr"/>
    </row>
    <row r="76">
      <c r="A76" s="7" t="n">
        <v>54</v>
      </c>
      <c r="B76" s="7" t="inlineStr">
        <is>
          <t>X24</t>
        </is>
      </c>
      <c r="C76" s="8" t="inlineStr">
        <is>
          <t>Abort station, constant-pressure, guarded (FIELD at cabinet line-up)</t>
        </is>
      </c>
      <c r="D76" s="7" t="inlineStr">
        <is>
          <t>Potter</t>
        </is>
      </c>
      <c r="E76" s="7" t="inlineStr">
        <is>
          <t>APS-1 class [CONFIRM AT ICD]</t>
        </is>
      </c>
      <c r="F76" s="9" t="n">
        <v>1</v>
      </c>
      <c r="G76" s="10" t="n">
        <v>145</v>
      </c>
      <c r="H76" s="11">
        <f>F76*G76</f>
        <v/>
      </c>
      <c r="I76" s="7" t="inlineStr">
        <is>
          <t>EST</t>
        </is>
      </c>
      <c r="J76" s="8" t="inlineStr">
        <is>
          <t>REV K R-14: NFPA 72 23.8.5.6 - located in protected area, supervised, abort-active indication</t>
        </is>
      </c>
    </row>
    <row r="77">
      <c r="A77" s="7" t="n">
        <v>55</v>
      </c>
      <c r="B77" s="7" t="inlineStr">
        <is>
          <t>X25</t>
        </is>
      </c>
      <c r="C77" s="8" t="inlineStr">
        <is>
          <t>Manual release station, dual-action (FIELD)</t>
        </is>
      </c>
      <c r="D77" s="7" t="inlineStr">
        <is>
          <t>Potter</t>
        </is>
      </c>
      <c r="E77" s="7" t="inlineStr">
        <is>
          <t>RMS-1T class [CONFIRM AT ICD]</t>
        </is>
      </c>
      <c r="F77" s="9" t="n">
        <v>1</v>
      </c>
      <c r="G77" s="10" t="n">
        <v>98</v>
      </c>
      <c r="H77" s="11">
        <f>F77*G77</f>
        <v/>
      </c>
      <c r="I77" s="7" t="inlineStr">
        <is>
          <t>EST</t>
        </is>
      </c>
      <c r="J77" s="8" t="inlineStr">
        <is>
          <t>REV K R-15</t>
        </is>
      </c>
    </row>
    <row r="78">
      <c r="A78" s="7" t="n">
        <v>56</v>
      </c>
      <c r="B78" s="7" t="inlineStr">
        <is>
          <t>R4-R8,R10-R12</t>
        </is>
      </c>
      <c r="C78" s="8" t="inlineStr">
        <is>
          <t>EOL devices: NAC(R4), SUP1-3(R5-7), abort(R8), MM inputs(R10,R12), man-rel(R11)</t>
        </is>
      </c>
      <c r="D78" s="7" t="inlineStr">
        <is>
          <t>Potter</t>
        </is>
      </c>
      <c r="E78" s="7" t="inlineStr">
        <is>
          <t>EOLD 3005012</t>
        </is>
      </c>
      <c r="F78" s="9" t="n">
        <v>8</v>
      </c>
      <c r="G78" s="10" t="n">
        <v>16</v>
      </c>
      <c r="H78" s="11">
        <f>F78*G78</f>
        <v/>
      </c>
      <c r="I78" s="7" t="inlineStr">
        <is>
          <t>EST</t>
        </is>
      </c>
      <c r="J78" s="8" t="inlineStr">
        <is>
          <t>REV K R-13: every supervised circuit now has its EOL IN the netlist, installed at the far end</t>
        </is>
      </c>
    </row>
    <row r="79">
      <c r="A79" s="7" t="n">
        <v>57</v>
      </c>
      <c r="B79" s="7" t="inlineStr">
        <is>
          <t>TB8,TB9,TB14-16,TB23</t>
        </is>
      </c>
      <c r="C79" s="8" t="inlineStr">
        <is>
          <t>TB, UK 5 N insulated feed-through (SLC send/return, suppression, abort, man-rel, EPO)</t>
        </is>
      </c>
      <c r="D79" s="7" t="inlineStr">
        <is>
          <t>Phoenix Contact</t>
        </is>
      </c>
      <c r="E79" s="7" t="inlineStr">
        <is>
          <t>UK 5 N</t>
        </is>
      </c>
      <c r="F79" s="9" t="n">
        <v>20</v>
      </c>
      <c r="G79" s="10" t="n">
        <v>1.8</v>
      </c>
      <c r="H79" s="11">
        <f>F79*G79</f>
        <v/>
      </c>
      <c r="I79" s="7" t="inlineStr">
        <is>
          <t>EST</t>
        </is>
      </c>
      <c r="J79" s="8" t="inlineStr">
        <is>
          <t>Feed-through only - never USLKG on supervised circuits; qty incl spares</t>
        </is>
      </c>
    </row>
    <row r="80">
      <c r="C80" s="12" t="inlineStr">
        <is>
          <t>Subtotal - SHEETS 7+9 - FIRE ALARM + RELEASING (OPTION B, REV K)</t>
        </is>
      </c>
      <c r="H80" s="13">
        <f>SUM(H67:H79)</f>
        <v/>
      </c>
    </row>
    <row r="82">
      <c r="A82" s="5" t="inlineStr">
        <is>
          <t>SHEET 8 - METERING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7" t="n">
        <v>58</v>
      </c>
      <c r="B83" s="7" t="inlineStr">
        <is>
          <t>M1</t>
        </is>
      </c>
      <c r="C83" s="8" t="inlineStr">
        <is>
          <t>Revenue meter, 15 CT inputs, Ethernet</t>
        </is>
      </c>
      <c r="D83" s="7" t="inlineStr">
        <is>
          <t>eGauge</t>
        </is>
      </c>
      <c r="E83" s="7" t="inlineStr">
        <is>
          <t>EG4115 (Core)</t>
        </is>
      </c>
      <c r="F83" s="9" t="n">
        <v>1</v>
      </c>
      <c r="G83" s="10" t="n">
        <v>850</v>
      </c>
      <c r="H83" s="11">
        <f>F83*G83</f>
        <v/>
      </c>
      <c r="I83" s="7" t="inlineStr">
        <is>
          <t>EST</t>
        </is>
      </c>
      <c r="J83" s="8" t="inlineStr">
        <is>
          <t>SCOPE DEVIATION - client approval; confirm SKU/price</t>
        </is>
      </c>
    </row>
    <row r="84">
      <c r="A84" s="7" t="n">
        <v>59</v>
      </c>
      <c r="B84" s="7" t="inlineStr">
        <is>
          <t>X15-X17</t>
        </is>
      </c>
      <c r="C84" s="8" t="inlineStr">
        <is>
          <t>Split-core CT, 333mV UL2808 (PoI/Solar/BESS L1-L3, field sets)</t>
        </is>
      </c>
      <c r="D84" s="7" t="inlineStr">
        <is>
          <t>eGauge</t>
        </is>
      </c>
      <c r="E84" s="7" t="inlineStr">
        <is>
          <t>ECS series [size per conductor]</t>
        </is>
      </c>
      <c r="F84" s="9" t="n">
        <v>9</v>
      </c>
      <c r="G84" s="10" t="n">
        <v>96</v>
      </c>
      <c r="H84" s="11">
        <f>F84*G84</f>
        <v/>
      </c>
      <c r="I84" s="7" t="inlineStr">
        <is>
          <t>EST</t>
        </is>
      </c>
      <c r="J84" s="8" t="inlineStr">
        <is>
          <t>Open-circuit safe - no shorting blocks required</t>
        </is>
      </c>
    </row>
    <row r="85">
      <c r="A85" s="7" t="n">
        <v>60</v>
      </c>
      <c r="B85" s="7" t="inlineStr">
        <is>
          <t>TB11</t>
        </is>
      </c>
      <c r="C85" s="8" t="inlineStr">
        <is>
          <t>TB, UT 4 feed-through (CT landing, 18 pos + spares)</t>
        </is>
      </c>
      <c r="D85" s="7" t="inlineStr">
        <is>
          <t>Phoenix Contact</t>
        </is>
      </c>
      <c r="E85" s="7" t="inlineStr">
        <is>
          <t>UT 4</t>
        </is>
      </c>
      <c r="F85" s="9" t="n">
        <v>20</v>
      </c>
      <c r="G85" s="10" t="n">
        <v>2.6</v>
      </c>
      <c r="H85" s="11">
        <f>F85*G85</f>
        <v/>
      </c>
      <c r="I85" s="7" t="inlineStr">
        <is>
          <t>EST</t>
        </is>
      </c>
      <c r="J85" s="8" t="inlineStr">
        <is>
          <t>REV K R-06: feed-through UT 4 - NOT USLKG (A3 sheet 8 value corrected)</t>
        </is>
      </c>
    </row>
    <row r="86">
      <c r="C86" s="12" t="inlineStr">
        <is>
          <t>Subtotal - SHEET 8 - METERING</t>
        </is>
      </c>
      <c r="H86" s="13">
        <f>SUM(H83:H85)</f>
        <v/>
      </c>
    </row>
    <row r="88">
      <c r="A88" s="5" t="inlineStr">
        <is>
          <t>ENCLOSURE + HARDWARE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7" t="n">
        <v>61</v>
      </c>
      <c r="B89" s="7" t="inlineStr"/>
      <c r="C89" s="8" t="inlineStr">
        <is>
          <t>NEMA 4 enclosure ~72x48x24, backplate + swing panel</t>
        </is>
      </c>
      <c r="D89" s="7" t="inlineStr">
        <is>
          <t>Hoffman/Saginaw</t>
        </is>
      </c>
      <c r="E89" s="7" t="inlineStr">
        <is>
          <t>[size per final layout sheet]</t>
        </is>
      </c>
      <c r="F89" s="9" t="n">
        <v>1</v>
      </c>
      <c r="G89" s="10" t="n">
        <v>4300</v>
      </c>
      <c r="H89" s="11">
        <f>F89*G89</f>
        <v/>
      </c>
      <c r="I89" s="7" t="inlineStr">
        <is>
          <t>EST</t>
        </is>
      </c>
      <c r="J89" s="8" t="inlineStr">
        <is>
          <t>Layout/elevation sheet in Z1SL-SCH-001 (working space, 760.136 segregation, bending space)</t>
        </is>
      </c>
    </row>
    <row r="90">
      <c r="A90" s="7" t="n">
        <v>62</v>
      </c>
      <c r="B90" s="7" t="inlineStr"/>
      <c r="C90" s="8" t="inlineStr">
        <is>
          <t>DIN rail, wire duct, panel hardware</t>
        </is>
      </c>
      <c r="D90" s="7" t="inlineStr">
        <is>
          <t>-</t>
        </is>
      </c>
      <c r="E90" s="7" t="inlineStr">
        <is>
          <t>-</t>
        </is>
      </c>
      <c r="F90" s="9" t="n">
        <v>1</v>
      </c>
      <c r="G90" s="10" t="n">
        <v>290</v>
      </c>
      <c r="H90" s="11">
        <f>F90*G90</f>
        <v/>
      </c>
      <c r="I90" s="7" t="inlineStr">
        <is>
          <t>EST</t>
        </is>
      </c>
      <c r="J90" s="8" t="inlineStr"/>
    </row>
    <row r="91">
      <c r="A91" s="7" t="n">
        <v>63</v>
      </c>
      <c r="B91" s="7" t="inlineStr"/>
      <c r="C91" s="8" t="inlineStr">
        <is>
          <t>Panel wire: MTW/THHN, FPL (fire), AWG20 CAN pair, Cat 6A bulk, ferrules, labels</t>
        </is>
      </c>
      <c r="D91" s="7" t="inlineStr">
        <is>
          <t>-</t>
        </is>
      </c>
      <c r="E91" s="7" t="inlineStr">
        <is>
          <t>-</t>
        </is>
      </c>
      <c r="F91" s="9" t="n">
        <v>1</v>
      </c>
      <c r="G91" s="10" t="n">
        <v>760</v>
      </c>
      <c r="H91" s="11">
        <f>F91*G91</f>
        <v/>
      </c>
      <c r="I91" s="7" t="inlineStr">
        <is>
          <t>EST</t>
        </is>
      </c>
      <c r="J91" s="8" t="inlineStr">
        <is>
          <t>Wire numbers assigned at fab release</t>
        </is>
      </c>
    </row>
    <row r="92">
      <c r="C92" s="12" t="inlineStr">
        <is>
          <t>Subtotal - ENCLOSURE + HARDWARE</t>
        </is>
      </c>
      <c r="H92" s="13">
        <f>SUM(H89:H91)</f>
        <v/>
      </c>
    </row>
    <row r="94">
      <c r="A94" s="5" t="inlineStr">
        <is>
          <t>FIELD EQUIPMENT (PANEL-ADJACENT SCOPE - BY OTHERS)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7" t="n">
        <v>64</v>
      </c>
      <c r="B95" s="7" t="inlineStr">
        <is>
          <t>X18</t>
        </is>
      </c>
      <c r="C95" s="8" t="inlineStr">
        <is>
          <t>Aux 380Y/220V source = Kehua PCS Cabinet-375 internal 30kVA 480/380 TX + 3 output breakers</t>
        </is>
      </c>
      <c r="D95" s="7" t="inlineStr">
        <is>
          <t>Kehua</t>
        </is>
      </c>
      <c r="E95" s="7" t="inlineStr">
        <is>
          <t>-</t>
        </is>
      </c>
      <c r="F95" s="9" t="n">
        <v>0</v>
      </c>
      <c r="G95" s="10" t="n">
        <v>0</v>
      </c>
      <c r="H95" s="11">
        <f>F95*G95</f>
        <v/>
      </c>
      <c r="I95" s="7" t="inlineStr">
        <is>
          <t>KEHUA</t>
        </is>
      </c>
      <c r="J95" s="8" t="inlineStr">
        <is>
          <t>Kehua scope (REV I); breaker ratings + N-G bond at RFI-001</t>
        </is>
      </c>
    </row>
    <row r="96">
      <c r="A96" s="7" t="n">
        <v>65</v>
      </c>
      <c r="B96" s="7" t="inlineStr"/>
      <c r="C96" s="8" t="inlineStr">
        <is>
          <t>Aux feeder + EPO + fire-circuit field conduit &amp; wire, panel &gt; PCS/cabinets</t>
        </is>
      </c>
      <c r="D96" s="7" t="inlineStr">
        <is>
          <t>-</t>
        </is>
      </c>
      <c r="E96" s="7" t="inlineStr">
        <is>
          <t>-</t>
        </is>
      </c>
      <c r="F96" s="9" t="n">
        <v>0</v>
      </c>
      <c r="G96" s="10" t="n">
        <v>0</v>
      </c>
      <c r="H96" s="11">
        <f>F96*G96</f>
        <v/>
      </c>
      <c r="I96" s="7" t="inlineStr">
        <is>
          <t>EST</t>
        </is>
      </c>
      <c r="J96" s="8" t="inlineStr">
        <is>
          <t>BY OTHERS / site contractor - excluded from panel BOM (REV K R-45 scope split)</t>
        </is>
      </c>
    </row>
    <row r="97">
      <c r="C97" s="12" t="inlineStr">
        <is>
          <t>Subtotal - FIELD EQUIPMENT (PANEL-ADJACENT SCOPE - BY OTHERS)</t>
        </is>
      </c>
      <c r="H97" s="13">
        <f>SUM(H95:H96)</f>
        <v/>
      </c>
    </row>
    <row r="100">
      <c r="C100" s="12" t="inlineStr">
        <is>
          <t>PARTS SUBTOTAL (all sections)</t>
        </is>
      </c>
      <c r="H100" s="14">
        <f>H16+H33+H45+H52+H64+H80+H86+H92+H97</f>
        <v/>
      </c>
    </row>
    <row r="101">
      <c r="C101" s="15" t="inlineStr">
        <is>
          <t>Contingency % (budgetary pricing risk - editable)</t>
        </is>
      </c>
      <c r="G101" s="16" t="n">
        <v>0.15</v>
      </c>
      <c r="H101" s="17">
        <f>H100*G101</f>
        <v/>
      </c>
    </row>
    <row r="102">
      <c r="C102" s="12" t="inlineStr">
        <is>
          <t>BUDGETARY TOTAL - PANEL PARTS + PAD TX (excl. labor, engineering, freight, tax)</t>
        </is>
      </c>
      <c r="H102" s="18">
        <f>H100+H101</f>
        <v/>
      </c>
    </row>
    <row r="105">
      <c r="A105" s="3" t="inlineStr">
        <is>
          <t>EXCLUSIONS: panel shop labor + UL508A listing fee (typ $8-15k this size), PE engineering/stamp, freight, tax,</t>
        </is>
      </c>
    </row>
    <row r="106">
      <c r="A106" s="3" t="inlineStr">
        <is>
          <t>site installation, CATL cabinets/PCS/PV (owner-furnished major equipment), TX pad + field conduit/wire (by others).</t>
        </is>
      </c>
    </row>
    <row r="107">
      <c r="A107" s="3" t="inlineStr">
        <is>
          <t>All EST prices are 2026 USD budgetary +/-25%. QUOTED prices are single-source web prices found 2026-08 and</t>
        </is>
      </c>
    </row>
    <row r="108">
      <c r="A108" s="3" t="inlineStr">
        <is>
          <t>expire immediately - obtain formal distributor quotes at procurement. TBD line (PSN-1000) resolves with CATL/Potter ICD.</t>
        </is>
      </c>
    </row>
    <row r="109">
      <c r="A109" s="3" t="inlineStr">
        <is>
          <t>Sources: shopmoxa.neteon.net (UC-2222A $854.26), firealarm.com (ARC-100 $1,554.00), Octopart (QUINT4-CAP 4KJ $499.80),</t>
        </is>
      </c>
    </row>
    <row r="110">
      <c r="A110" s="3" t="inlineStr">
        <is>
          <t>store.egauge.net (Core EG4015-64E $833.38). CATL aux load data: EnerOne+ public spec (7SUN distributor copy).</t>
        </is>
      </c>
    </row>
    <row r="111">
      <c r="A111" s="3" t="inlineStr">
        <is>
          <t>DEVIATIONS PENDING CLIENT APPROVAL: single eGauge meter; external pad TX; single managed switch (see Rev D root sheet).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2026-08-09T22:20:46Z</dcterms:created>
  <dcterms:modified xmlns:dcterms="http://purl.org/dc/terms/" xmlns:xsi="http://www.w3.org/2001/XMLSchema-instance" xsi:type="dcterms:W3CDTF">2026-08-09T22:20:46Z</dcterms:modified>
</cp:coreProperties>
</file>