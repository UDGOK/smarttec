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Assumptions" sheetId="2" state="visible" r:id="rId4"/>
    <sheet name="CAPEX" sheetId="3" state="visible" r:id="rId5"/>
    <sheet name="5-Year Model" sheetId="4" state="visible" r:id="rId6"/>
    <sheet name="Sensitivity" sheetId="5" state="visible" r:id="rId7"/>
    <sheet name="Investment Tiers" sheetId="6" state="visible" r:id="rId8"/>
    <sheet name="Debt Opti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<sst xmlns="http://schemas.openxmlformats.org/spreadsheetml/2006/main" count="152" uniqueCount="140">
  <si>
    <t xml:space="preserve">[ SMARTTEC.DEV · MEAD DATA CENTER · LIVE MODEL — EDIT YELLOW CELLS ON ASSUMPTIONS ]</t>
  </si>
  <si>
    <t xml:space="preserve">INVESTOR DASHBOARD</t>
  </si>
  <si>
    <t xml:space="preserve">30× NVIDIA B200 · battery-backed AI compute · Mead, Oklahoma</t>
  </si>
  <si>
    <t xml:space="preserve">Total raise</t>
  </si>
  <si>
    <t xml:space="preserve">Total CAPEX</t>
  </si>
  <si>
    <t xml:space="preserve">Y1 gross revenue</t>
  </si>
  <si>
    <t xml:space="preserve">Y1 net cash flow</t>
  </si>
  <si>
    <t xml:space="preserve">Y1 operating margin</t>
  </si>
  <si>
    <t xml:space="preserve">Reserved rate (base)</t>
  </si>
  <si>
    <t xml:space="preserve">Flat payback</t>
  </si>
  <si>
    <t xml:space="preserve">Cash payback (prepay)</t>
  </si>
  <si>
    <t xml:space="preserve">Decay payback</t>
  </si>
  <si>
    <t xml:space="preserve">5-yr cash + residual</t>
  </si>
  <si>
    <t xml:space="preserve">MOIC</t>
  </si>
  <si>
    <t xml:space="preserve">Project IRR</t>
  </si>
  <si>
    <t xml:space="preserve">[ HOW TO USE ]</t>
  </si>
  <si>
    <t xml:space="preserve">1. Edit yellow cells on Assumptions (reserved rate, decay, on-demand rate) and blue cells anywhere.</t>
  </si>
  <si>
    <t xml:space="preserve">2. Dashboard, 5-Year Model, Sensitivity, and Tiers recalculate automatically.</t>
  </si>
  <si>
    <t xml:space="preserve">3. Sensitivity tab shows outcomes across the $4.00–$5.00 negotiation range.</t>
  </si>
  <si>
    <t xml:space="preserve">Prepared July 2026 · figures audited against market data · illustrative only, not an offer of securities.</t>
  </si>
  <si>
    <t xml:space="preserve">[ SMARTTEC.DEV · MEAD DATA CENTER · MODEL INPUTS ]</t>
  </si>
  <si>
    <t xml:space="preserve">ASSUMPTIONS</t>
  </si>
  <si>
    <t xml:space="preserve">Blue text on yellow = edit these levers. Everything downstream recalculates.</t>
  </si>
  <si>
    <t xml:space="preserve">[ CAPACITY ]</t>
  </si>
  <si>
    <t xml:space="preserve">Reserved GPUs (anchors)</t>
  </si>
  <si>
    <t xml:space="preserve">6 anchors × 5 GPUs — 100% of capacity contracted</t>
  </si>
  <si>
    <t xml:space="preserve">On-demand GPUs</t>
  </si>
  <si>
    <t xml:space="preserve">Zero in base case — spares/overflow upside excluded</t>
  </si>
  <si>
    <t xml:space="preserve">Hours per year</t>
  </si>
  <si>
    <t xml:space="preserve">24/7/365</t>
  </si>
  <si>
    <t xml:space="preserve">On-demand utilization</t>
  </si>
  <si>
    <t xml:space="preserve">Typical marketplace fill</t>
  </si>
  <si>
    <t xml:space="preserve">[ RATES — YEAR 1 ]</t>
  </si>
  <si>
    <t xml:space="preserve">Reserved rate ($/GPU-hr)</t>
  </si>
  <si>
    <t xml:space="preserve">Modeled landing rate; ask $5.00. Market median $6.25 (indep. index, Jul 2026)</t>
  </si>
  <si>
    <t xml:space="preserve">On-demand rate ($/GPU-hr)</t>
  </si>
  <si>
    <t xml:space="preserve">July 2026 B200 on-demand median</t>
  </si>
  <si>
    <t xml:space="preserve">Annual rate decay</t>
  </si>
  <si>
    <t xml:space="preserve">Both streams decline as newer chips ship</t>
  </si>
  <si>
    <t xml:space="preserve">[ CAPITAL &amp; TERMINAL ]</t>
  </si>
  <si>
    <t xml:space="preserve">CAPEX $1.99M + working capital</t>
  </si>
  <si>
    <t xml:space="preserve">Residual hardware value @ Y5</t>
  </si>
  <si>
    <t xml:space="preserve">~26% of equipment cost</t>
  </si>
  <si>
    <t xml:space="preserve">Anchor Q1 prepayment quarters</t>
  </si>
  <si>
    <t xml:space="preserve">Quarters prepaid at signing</t>
  </si>
  <si>
    <t xml:space="preserve">[ ANNUAL OPERATING COSTS ]</t>
  </si>
  <si>
    <t xml:space="preserve">Power &amp; cooling</t>
  </si>
  <si>
    <t xml:space="preserve">~110 kW total load @ OK ~$0.08/kWh</t>
  </si>
  <si>
    <t xml:space="preserve">Fiber — Dobson 100G symmetrical DIA</t>
  </si>
  <si>
    <t xml:space="preserve">Signed quote: $8,075/mo, 60-month term, install waived</t>
  </si>
  <si>
    <t xml:space="preserve">Team — 2 HPC engineers</t>
  </si>
  <si>
    <t xml:space="preserve">$120K avg, Oklahoma market (audited)</t>
  </si>
  <si>
    <t xml:space="preserve">Insurance, property tax, software</t>
  </si>
  <si>
    <t xml:space="preserve">Estimate</t>
  </si>
  <si>
    <t xml:space="preserve">[ SMARTTEC.DEV · MEAD DATA CENTER ]</t>
  </si>
  <si>
    <t xml:space="preserve">CAPEX — FULL BUILD (AUDITED)</t>
  </si>
  <si>
    <t xml:space="preserve">Item</t>
  </si>
  <si>
    <t xml:space="preserve">Cost</t>
  </si>
  <si>
    <t xml:space="preserve">Note</t>
  </si>
  <si>
    <t xml:space="preserve">4× HGX B200 servers, new (32 GPUs, 30 rentable)</t>
  </si>
  <si>
    <t xml:space="preserve">$300K/system — July 2026 DGX benchmark $280–320K; new w/ warranty, not refurb</t>
  </si>
  <si>
    <t xml:space="preserve">InfiniBand fabric — 1× QM9790 (or 400G RoCE)</t>
  </si>
  <si>
    <t xml:space="preserve">One switch covers 30 GPUs; 2nd deferred to Phase 2</t>
  </si>
  <si>
    <t xml:space="preserve">300 TB NVMe storage, expandable</t>
  </si>
  <si>
    <t xml:space="preserve">Petabyte tier deferred until demanded</t>
  </si>
  <si>
    <t xml:space="preserve">z1Power LFP batteries + UPS</t>
  </si>
  <si>
    <t xml:space="preserve">At cost via sponsor-owned z1Power (~$280K retail)</t>
  </si>
  <si>
    <t xml:space="preserve">HVAC retrofit — Building 1</t>
  </si>
  <si>
    <t xml:space="preserve">~30 tons, hot/cold aisle containment</t>
  </si>
  <si>
    <t xml:space="preserve">Racks, PDUs, cabling, optics</t>
  </si>
  <si>
    <t xml:space="preserve">Self-performed on owned site</t>
  </si>
  <si>
    <t xml:space="preserve">Management switch, firewall</t>
  </si>
  <si>
    <t xml:space="preserve">OOB management + tenant isolation</t>
  </si>
  <si>
    <t xml:space="preserve">Shipping</t>
  </si>
  <si>
    <t xml:space="preserve">Vendor estimate</t>
  </si>
  <si>
    <t xml:space="preserve">Installation</t>
  </si>
  <si>
    <t xml:space="preserve">Self-performed + electrician</t>
  </si>
  <si>
    <t xml:space="preserve">Legal, permitting</t>
  </si>
  <si>
    <t xml:space="preserve">Contracts, county permits</t>
  </si>
  <si>
    <t xml:space="preserve">Subtotal</t>
  </si>
  <si>
    <t xml:space="preserve">Contingency %</t>
  </si>
  <si>
    <t xml:space="preserve">Contingency $</t>
  </si>
  <si>
    <t xml:space="preserve">TOTAL CAPEX</t>
  </si>
  <si>
    <t xml:space="preserve">[ SMARTTEC.DEV · MEAD DATA CENTER · BASE CASE — RATES MODELED FALLING ]</t>
  </si>
  <si>
    <t xml:space="preserve">FIVE-YEAR MODEL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</si>
  <si>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</si>
  <si>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</si>
  <si>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</si>
  <si>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</si>
  <si>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</si>
  <si>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</si>
  <si>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Reserved revenue</t>
  </si>
  <si>
    <t xml:space="preserve">On-demand revenue</t>
  </si>
  <si>
    <t xml:space="preserve">Gross revenue</t>
  </si>
  <si>
    <t xml:space="preserve">Operating costs</t>
  </si>
  <si>
    <t xml:space="preserve">Net operating cash flow</t>
  </si>
  <si>
    <t xml:space="preserve">Cumulative cash</t>
  </si>
  <si>
    <t xml:space="preserve">Investor cash flow</t>
  </si>
  <si>
    <t xml:space="preserve">[ RETURN METRICS — LINKED LIVE ]</t>
  </si>
  <si>
    <t xml:space="preserve">Payback (flat Y1 rate, vs CAPEX)</t>
  </si>
  <si>
    <t xml:space="preserve">Payback (decaying rates, vs CAPEX)</t>
  </si>
  <si>
    <t xml:space="preserve">99 = beyond 5-yr window</t>
  </si>
  <si>
    <t xml:space="preserve">Anchor Q1 prepayment (cash in at signing)</t>
  </si>
  <si>
    <t xml:space="preserve">Cash payback (flat, net of prepay)</t>
  </si>
  <si>
    <t xml:space="preserve">5-yr cumulative cash + residual</t>
  </si>
  <si>
    <t xml:space="preserve">MOIC (on raise)</t>
  </si>
  <si>
    <t xml:space="preserve">Project IRR (5-yr, incl. residual)</t>
  </si>
  <si>
    <t xml:space="preserve">[ SMARTTEC.DEV · WHERE THE ANCHOR RATE LANDS ]</t>
  </si>
  <si>
    <t xml:space="preserve">RATE SENSITIVITY</t>
  </si>
  <si>
    <t xml:space="preserve">Reserved rate</t>
  </si>
  <si>
    <t xml:space="preserve">Y1 net profit</t>
  </si>
  <si>
    <t xml:space="preserve">Anchor rev ÷ costs</t>
  </si>
  <si>
    <t xml:space="preserve">All 30 GPUs contracted in every row. Marketplace overflow between contracts = additional upside, excluded here.</t>
  </si>
  <si>
    <t xml:space="preserve">[ SMARTTEC.DEV · ILLUSTRATIVE PRO-RATA ECONOMICS — TERMS SET WITH COUNSEL ]</t>
  </si>
  <si>
    <t xml:space="preserve">INVESTMENT TIERS</t>
  </si>
  <si>
    <t xml:space="preserve">Tier</t>
  </si>
  <si>
    <t xml:space="preserve">Investment</t>
  </si>
  <si>
    <t xml:space="preserve">Share</t>
  </si>
  <si>
    <t xml:space="preserve">Y1 distribution</t>
  </si>
  <si>
    <t xml:space="preserve">5-yr dist + residual</t>
  </si>
  <si>
    <t xml:space="preserve">IRR</t>
  </si>
  <si>
    <t xml:space="preserve">Pod Partner</t>
  </si>
  <si>
    <t xml:space="preserve">Rack Partner</t>
  </si>
  <si>
    <t xml:space="preserve">Core Partner</t>
  </si>
  <si>
    <t xml:space="preserve">Site Partner</t>
  </si>
  <si>
    <t xml:space="preserve">IRR is identical across tiers (pro-rata scaling). Perks escalate: Pod = quarterly reporting · Rack = priority GPU allocation · Core = advisory seat + Phase-2 ROFR · Site = board seat + co-branding + full-site ROFR.</t>
  </si>
  <si>
    <t xml:space="preserve">[ SMARTTEC.DEV · LEVERED STRUCTURE — SMALLER EQUITY CHECK, HIGHER EQUITY YIELD ]</t>
  </si>
  <si>
    <t xml:space="preserve">DEBT + EQUITY OPTION</t>
  </si>
  <si>
    <t xml:space="preserve">Senior equipment loan</t>
  </si>
  <si>
    <t xml:space="preserve">Interest rate</t>
  </si>
  <si>
    <t xml:space="preserve">Term (years)</t>
  </si>
  <si>
    <t xml:space="preserve">Equity check (raise − debt)</t>
  </si>
  <si>
    <t xml:space="preserve">Annual debt service</t>
  </si>
  <si>
    <t xml:space="preserve">Y1 DSCR (profit ÷ service)</t>
  </si>
  <si>
    <t xml:space="preserve">Equity cash flows</t>
  </si>
  <si>
    <t xml:space="preserve">Profit − debt service (+ residual Y5)</t>
  </si>
  <si>
    <t xml:space="preserve">Y1 equity cash yield</t>
  </si>
  <si>
    <t xml:space="preserve">Equity MOIC (5-yr)</t>
  </si>
  <si>
    <t xml:space="preserve">Equity IRR</t>
  </si>
  <si>
    <t xml:space="preserve">Debt secured by hardware; sponsor completion support. DSCR &gt;2x is comfortably bankable for equipment finance.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</si>
</sst>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0.0%"/>
    <numFmt numFmtId="167" formatCode="\$0.00&quot;/hr&quot;"/>
    <numFmt numFmtId="168" formatCode="0.00&quot; yr&quot;"/>
    <numFmt numFmtId="169" formatCode="0.00\x"/>
    <numFmt numFmtId="170" formatCode="0"/>
    <numFmt numFmtId="171" formatCode="#,##0"/>
    <numFmt numFmtId="172" formatCode="\$#,##0;&quot;($&quot;#,##0\)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0AA96E"/>
      <name val="Consolas"/>
      <family val="0"/>
      <charset val="1"/>
    </font>
    <font>
      <b val="true"/>
      <sz val="16"/>
      <color rgb="FF3D3B4F"/>
      <name val="Arial Black"/>
      <family val="0"/>
      <charset val="1"/>
    </font>
    <font>
      <sz val="10"/>
      <color rgb="FF6D6C7E"/>
      <name val="Arial"/>
      <family val="0"/>
      <charset val="1"/>
    </font>
    <font>
      <sz val="10"/>
      <color rgb="FF3D3B4F"/>
      <name val="Arial"/>
      <family val="0"/>
      <charset val="1"/>
    </font>
    <font>
      <b val="true"/>
      <sz val="10"/>
      <color rgb="FF3D3B4F"/>
      <name val="Arial"/>
      <family val="0"/>
      <charset val="1"/>
    </font>
    <font>
      <sz val="9"/>
      <color rgb="FF3D3B4F"/>
      <name val="Arial"/>
      <family val="0"/>
      <charset val="1"/>
    </font>
    <font>
      <i val="true"/>
      <sz val="8"/>
      <color rgb="FF6D6C7E"/>
      <name val="Arial"/>
      <family val="0"/>
      <charset val="1"/>
    </font>
    <font>
      <i val="true"/>
      <sz val="9"/>
      <color rgb="FF6D6C7E"/>
      <name val="Arial"/>
      <family val="0"/>
      <charset val="1"/>
    </font>
    <font>
      <sz val="10"/>
      <color rgb="FF0000FF"/>
      <name val="Arial"/>
      <family val="0"/>
      <charset val="1"/>
    </font>
    <font>
      <sz val="8.5"/>
      <color rgb="FF6D6C7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0AA96E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8E99F"/>
        <bgColor rgb="FF00FFFF"/>
      </patternFill>
    </fill>
    <fill>
      <patternFill patternType="solid">
        <fgColor rgb="FFEEEEEE"/>
        <bgColor rgb="FFDFF7EC"/>
      </patternFill>
    </fill>
    <fill>
      <patternFill patternType="solid">
        <fgColor rgb="FFDFF7EC"/>
        <bgColor rgb="FFEEEEEE"/>
      </patternFill>
    </fill>
    <fill>
      <patternFill patternType="solid">
        <fgColor rgb="FFFFFF00"/>
        <bgColor rgb="FFFFFF00"/>
      </patternFill>
    </fill>
    <fill>
      <patternFill patternType="solid">
        <fgColor rgb="FF3D3B4F"/>
        <bgColor rgb="FF3333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6D6D6"/>
      </left>
      <right style="thin">
        <color rgb="FFD6D6D6"/>
      </right>
      <top style="thin">
        <color rgb="FFD6D6D6"/>
      </top>
      <bottom style="thin">
        <color rgb="FFD6D6D6"/>
      </bottom>
      <diagonal/>
    </border>
    <border diagonalUp="false" diagonalDown="false">
      <left/>
      <right/>
      <top style="medium">
        <color rgb="FF3D3B4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DFF7EC"/>
      <rgbColor rgb="FF660066"/>
      <rgbColor rgb="FFFF8080"/>
      <rgbColor rgb="FF0066CC"/>
      <rgbColor rgb="FFD6D6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8E99F"/>
      <rgbColor rgb="FF99CC00"/>
      <rgbColor rgb="FFFFCC00"/>
      <rgbColor rgb="FFFF9900"/>
      <rgbColor rgb="FFFF6600"/>
      <rgbColor rgb="FF6D6C7E"/>
      <rgbColor rgb="FF969696"/>
      <rgbColor rgb="FF003366"/>
      <rgbColor rgb="FF0AA96E"/>
      <rgbColor rgb="FF003300"/>
      <rgbColor rgb="FF333300"/>
      <rgbColor rgb="FF993300"/>
      <rgbColor rgb="FF993366"/>
      <rgbColor rgb="FF333399"/>
      <rgbColor rgb="FF3D3B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4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2" t="s">
        <v>0</v>
      </c>
    </row>
    <row r="5" customFormat="false" ht="19.7" hidden="false" customHeight="false" outlineLevel="0" collapsed="false">
      <c r="B5" s="3" t="s">
        <v>1</v>
      </c>
    </row>
    <row r="6" customFormat="false" ht="15" hidden="false" customHeight="false" outlineLevel="0" collapsed="false">
      <c r="B6" s="4" t="s">
        <v>2</v>
      </c>
    </row>
    <row r="8" customFormat="false" ht="15" hidden="false" customHeight="false" outlineLevel="0" collapsed="false">
      <c r="B8" s="5" t="s">
        <v>3</v>
      </c>
      <c r="C8" s="6" t="n">
        <f aca="false">Assumptions!$C$16</f>
        <v>2000000</v>
      </c>
      <c r="E8" s="5" t="s">
        <v>4</v>
      </c>
      <c r="F8" s="6" t="n">
        <f aca="false">CAPEX!$C$19</f>
        <v>1990000</v>
      </c>
    </row>
    <row r="9" customFormat="false" ht="15" hidden="false" customHeight="false" outlineLevel="0" collapsed="false">
      <c r="B9" s="5" t="s">
        <v>5</v>
      </c>
      <c r="C9" s="6" t="n">
        <f aca="false">'5-Year Model'!D10</f>
        <v>1182600</v>
      </c>
      <c r="E9" s="5" t="s">
        <v>6</v>
      </c>
      <c r="F9" s="6" t="n">
        <f aca="false">'5-Year Model'!$D$12</f>
        <v>685700</v>
      </c>
    </row>
    <row r="10" customFormat="false" ht="15" hidden="false" customHeight="false" outlineLevel="0" collapsed="false">
      <c r="B10" s="5" t="s">
        <v>7</v>
      </c>
      <c r="C10" s="7" t="n">
        <f aca="false">'5-Year Model'!$D$12/'5-Year Model'!D10</f>
        <v>0.579824116353797</v>
      </c>
      <c r="E10" s="5" t="s">
        <v>8</v>
      </c>
      <c r="F10" s="8" t="n">
        <f aca="false">Assumptions!$C$12</f>
        <v>4.5</v>
      </c>
    </row>
    <row r="11" customFormat="false" ht="15" hidden="false" customHeight="false" outlineLevel="0" collapsed="false">
      <c r="B11" s="5" t="s">
        <v>9</v>
      </c>
      <c r="C11" s="9" t="n">
        <f aca="false">'5-Year Model'!C17</f>
        <v>2.90214379466239</v>
      </c>
      <c r="E11" s="5" t="s">
        <v>10</v>
      </c>
      <c r="F11" s="9" t="n">
        <f aca="false">'5-Year Model'!C20</f>
        <v>2.47097856205338</v>
      </c>
    </row>
    <row r="12" customFormat="false" ht="15" hidden="false" customHeight="false" outlineLevel="0" collapsed="false">
      <c r="B12" s="5" t="s">
        <v>11</v>
      </c>
      <c r="C12" s="9" t="n">
        <f aca="false">'5-Year Model'!C18</f>
        <v>3.74661691758768</v>
      </c>
      <c r="E12" s="5" t="s">
        <v>12</v>
      </c>
      <c r="F12" s="6" t="n">
        <f aca="false">'5-Year Model'!C21</f>
        <v>2814160</v>
      </c>
    </row>
    <row r="13" customFormat="false" ht="15" hidden="false" customHeight="false" outlineLevel="0" collapsed="false">
      <c r="B13" s="5" t="s">
        <v>13</v>
      </c>
      <c r="C13" s="10" t="n">
        <f aca="false">'5-Year Model'!C22</f>
        <v>1.40708</v>
      </c>
      <c r="E13" s="5" t="s">
        <v>14</v>
      </c>
      <c r="F13" s="7" t="n">
        <f aca="false">'5-Year Model'!$C$23</f>
        <v>0.128710936014602</v>
      </c>
    </row>
    <row r="15" customFormat="false" ht="15" hidden="false" customHeight="false" outlineLevel="0" collapsed="false">
      <c r="B15" s="2" t="s">
        <v>15</v>
      </c>
    </row>
    <row r="16" customFormat="false" ht="15" hidden="false" customHeight="false" outlineLevel="0" collapsed="false">
      <c r="B16" s="11" t="s">
        <v>16</v>
      </c>
    </row>
    <row r="17" customFormat="false" ht="15" hidden="false" customHeight="false" outlineLevel="0" collapsed="false">
      <c r="B17" s="11" t="s">
        <v>17</v>
      </c>
    </row>
    <row r="18" customFormat="false" ht="15" hidden="false" customHeight="false" outlineLevel="0" collapsed="false">
      <c r="B18" s="11" t="s">
        <v>18</v>
      </c>
    </row>
    <row r="20" customFormat="false" ht="15" hidden="false" customHeight="false" outlineLevel="0" collapsed="false">
      <c r="B20" s="1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1"/>
      <c r="B1" s="1"/>
      <c r="C1" s="1"/>
      <c r="D1" s="1"/>
      <c r="E1" s="1"/>
    </row>
    <row r="2" customFormat="false" ht="15" hidden="false" customHeight="false" outlineLevel="0" collapsed="false">
      <c r="B2" s="2" t="s">
        <v>20</v>
      </c>
    </row>
    <row r="3" customFormat="false" ht="19.7" hidden="false" customHeight="false" outlineLevel="0" collapsed="false">
      <c r="B3" s="3" t="s">
        <v>21</v>
      </c>
    </row>
    <row r="4" customFormat="false" ht="15" hidden="false" customHeight="false" outlineLevel="0" collapsed="false">
      <c r="B4" s="13" t="s">
        <v>22</v>
      </c>
    </row>
    <row r="6" customFormat="false" ht="15" hidden="false" customHeight="false" outlineLevel="0" collapsed="false">
      <c r="B6" s="2" t="s">
        <v>23</v>
      </c>
    </row>
    <row r="7" customFormat="false" ht="15" hidden="false" customHeight="false" outlineLevel="0" collapsed="false">
      <c r="B7" s="14" t="s">
        <v>24</v>
      </c>
      <c r="C7" s="15" t="n">
        <v>30</v>
      </c>
      <c r="D7" s="16" t="s">
        <v>25</v>
      </c>
    </row>
    <row r="8" customFormat="false" ht="15" hidden="false" customHeight="false" outlineLevel="0" collapsed="false">
      <c r="B8" s="14" t="s">
        <v>26</v>
      </c>
      <c r="C8" s="15" t="n">
        <v>0</v>
      </c>
      <c r="D8" s="16" t="s">
        <v>27</v>
      </c>
    </row>
    <row r="9" customFormat="false" ht="15" hidden="false" customHeight="false" outlineLevel="0" collapsed="false">
      <c r="B9" s="14" t="s">
        <v>28</v>
      </c>
      <c r="C9" s="17" t="n">
        <v>8760</v>
      </c>
      <c r="D9" s="16" t="s">
        <v>29</v>
      </c>
    </row>
    <row r="10" customFormat="false" ht="15" hidden="false" customHeight="false" outlineLevel="0" collapsed="false">
      <c r="B10" s="14" t="s">
        <v>30</v>
      </c>
      <c r="C10" s="18" t="n">
        <v>0.65</v>
      </c>
      <c r="D10" s="16" t="s">
        <v>31</v>
      </c>
    </row>
    <row r="11" customFormat="false" ht="15" hidden="false" customHeight="false" outlineLevel="0" collapsed="false">
      <c r="B11" s="2" t="s">
        <v>32</v>
      </c>
    </row>
    <row r="12" customFormat="false" ht="15" hidden="false" customHeight="false" outlineLevel="0" collapsed="false">
      <c r="B12" s="14" t="s">
        <v>33</v>
      </c>
      <c r="C12" s="19" t="n">
        <v>4.5</v>
      </c>
      <c r="D12" s="16" t="s">
        <v>34</v>
      </c>
    </row>
    <row r="13" customFormat="false" ht="15" hidden="false" customHeight="false" outlineLevel="0" collapsed="false">
      <c r="B13" s="14" t="s">
        <v>35</v>
      </c>
      <c r="C13" s="19" t="n">
        <v>6.25</v>
      </c>
      <c r="D13" s="16" t="s">
        <v>36</v>
      </c>
    </row>
    <row r="14" customFormat="false" ht="15" hidden="false" customHeight="false" outlineLevel="0" collapsed="false">
      <c r="B14" s="14" t="s">
        <v>37</v>
      </c>
      <c r="C14" s="20" t="n">
        <v>0.1</v>
      </c>
      <c r="D14" s="16" t="s">
        <v>38</v>
      </c>
    </row>
    <row r="15" customFormat="false" ht="15" hidden="false" customHeight="false" outlineLevel="0" collapsed="false">
      <c r="B15" s="2" t="s">
        <v>39</v>
      </c>
    </row>
    <row r="16" customFormat="false" ht="15" hidden="false" customHeight="false" outlineLevel="0" collapsed="false">
      <c r="B16" s="14" t="s">
        <v>3</v>
      </c>
      <c r="C16" s="21" t="n">
        <v>2000000</v>
      </c>
      <c r="D16" s="16" t="s">
        <v>40</v>
      </c>
    </row>
    <row r="17" customFormat="false" ht="15" hidden="false" customHeight="false" outlineLevel="0" collapsed="false">
      <c r="B17" s="14" t="s">
        <v>41</v>
      </c>
      <c r="C17" s="21" t="n">
        <v>450000</v>
      </c>
      <c r="D17" s="16" t="s">
        <v>42</v>
      </c>
    </row>
    <row r="18" customFormat="false" ht="15" hidden="false" customHeight="false" outlineLevel="0" collapsed="false">
      <c r="B18" s="14" t="s">
        <v>43</v>
      </c>
      <c r="C18" s="15" t="n">
        <v>1</v>
      </c>
      <c r="D18" s="16" t="s">
        <v>44</v>
      </c>
    </row>
    <row r="19" customFormat="false" ht="15" hidden="false" customHeight="false" outlineLevel="0" collapsed="false">
      <c r="B19" s="2" t="s">
        <v>45</v>
      </c>
    </row>
    <row r="20" customFormat="false" ht="15" hidden="false" customHeight="false" outlineLevel="0" collapsed="false">
      <c r="B20" s="14" t="s">
        <v>46</v>
      </c>
      <c r="C20" s="21" t="n">
        <v>120000</v>
      </c>
      <c r="D20" s="16" t="s">
        <v>47</v>
      </c>
    </row>
    <row r="21" customFormat="false" ht="15" hidden="false" customHeight="false" outlineLevel="0" collapsed="false">
      <c r="B21" s="14" t="s">
        <v>48</v>
      </c>
      <c r="C21" s="21" t="n">
        <v>96900</v>
      </c>
      <c r="D21" s="16" t="s">
        <v>49</v>
      </c>
    </row>
    <row r="22" customFormat="false" ht="15" hidden="false" customHeight="false" outlineLevel="0" collapsed="false">
      <c r="B22" s="14" t="s">
        <v>50</v>
      </c>
      <c r="C22" s="21" t="n">
        <v>240000</v>
      </c>
      <c r="D22" s="16" t="s">
        <v>51</v>
      </c>
    </row>
    <row r="23" customFormat="false" ht="15" hidden="false" customHeight="false" outlineLevel="0" collapsed="false">
      <c r="B23" s="14" t="s">
        <v>52</v>
      </c>
      <c r="C23" s="21" t="n">
        <v>40000</v>
      </c>
      <c r="D23" s="16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1"/>
      <c r="B1" s="1"/>
      <c r="C1" s="1"/>
      <c r="D1" s="1"/>
      <c r="E1" s="1"/>
    </row>
    <row r="2" customFormat="false" ht="15" hidden="false" customHeight="false" outlineLevel="0" collapsed="false">
      <c r="B2" s="2" t="s">
        <v>54</v>
      </c>
    </row>
    <row r="3" customFormat="false" ht="19.7" hidden="false" customHeight="false" outlineLevel="0" collapsed="false">
      <c r="B3" s="3" t="s">
        <v>55</v>
      </c>
    </row>
    <row r="5" customFormat="false" ht="15" hidden="false" customHeight="false" outlineLevel="0" collapsed="false">
      <c r="B5" s="22" t="s">
        <v>56</v>
      </c>
      <c r="C5" s="23" t="s">
        <v>57</v>
      </c>
      <c r="D5" s="23" t="s">
        <v>58</v>
      </c>
    </row>
    <row r="6" customFormat="false" ht="15" hidden="false" customHeight="false" outlineLevel="0" collapsed="false">
      <c r="B6" s="24" t="s">
        <v>59</v>
      </c>
      <c r="C6" s="21" t="n">
        <v>1200000</v>
      </c>
      <c r="D6" s="16" t="s">
        <v>60</v>
      </c>
    </row>
    <row r="7" customFormat="false" ht="15" hidden="false" customHeight="false" outlineLevel="0" collapsed="false">
      <c r="B7" s="24" t="s">
        <v>61</v>
      </c>
      <c r="C7" s="21" t="n">
        <v>90000</v>
      </c>
      <c r="D7" s="16" t="s">
        <v>62</v>
      </c>
    </row>
    <row r="8" customFormat="false" ht="15" hidden="false" customHeight="false" outlineLevel="0" collapsed="false">
      <c r="B8" s="24" t="s">
        <v>63</v>
      </c>
      <c r="C8" s="21" t="n">
        <v>120000</v>
      </c>
      <c r="D8" s="16" t="s">
        <v>64</v>
      </c>
    </row>
    <row r="9" customFormat="false" ht="15" hidden="false" customHeight="false" outlineLevel="0" collapsed="false">
      <c r="B9" s="24" t="s">
        <v>65</v>
      </c>
      <c r="C9" s="21" t="n">
        <v>80000</v>
      </c>
      <c r="D9" s="16" t="s">
        <v>66</v>
      </c>
    </row>
    <row r="10" customFormat="false" ht="15" hidden="false" customHeight="false" outlineLevel="0" collapsed="false">
      <c r="B10" s="24" t="s">
        <v>67</v>
      </c>
      <c r="C10" s="21" t="n">
        <v>150000</v>
      </c>
      <c r="D10" s="16" t="s">
        <v>68</v>
      </c>
    </row>
    <row r="11" customFormat="false" ht="15" hidden="false" customHeight="false" outlineLevel="0" collapsed="false">
      <c r="B11" s="24" t="s">
        <v>69</v>
      </c>
      <c r="C11" s="21" t="n">
        <v>40000</v>
      </c>
      <c r="D11" s="16" t="s">
        <v>70</v>
      </c>
    </row>
    <row r="12" customFormat="false" ht="15" hidden="false" customHeight="false" outlineLevel="0" collapsed="false">
      <c r="B12" s="24" t="s">
        <v>71</v>
      </c>
      <c r="C12" s="21" t="n">
        <v>15000</v>
      </c>
      <c r="D12" s="16" t="s">
        <v>72</v>
      </c>
    </row>
    <row r="13" customFormat="false" ht="15" hidden="false" customHeight="false" outlineLevel="0" collapsed="false">
      <c r="B13" s="24" t="s">
        <v>73</v>
      </c>
      <c r="C13" s="21" t="n">
        <v>15000</v>
      </c>
      <c r="D13" s="16" t="s">
        <v>74</v>
      </c>
    </row>
    <row r="14" customFormat="false" ht="15" hidden="false" customHeight="false" outlineLevel="0" collapsed="false">
      <c r="B14" s="24" t="s">
        <v>75</v>
      </c>
      <c r="C14" s="21" t="n">
        <v>10000</v>
      </c>
      <c r="D14" s="16" t="s">
        <v>76</v>
      </c>
    </row>
    <row r="15" customFormat="false" ht="15" hidden="false" customHeight="false" outlineLevel="0" collapsed="false">
      <c r="B15" s="24" t="s">
        <v>77</v>
      </c>
      <c r="C15" s="21" t="n">
        <v>10000</v>
      </c>
      <c r="D15" s="16" t="s">
        <v>78</v>
      </c>
    </row>
    <row r="16" customFormat="false" ht="15" hidden="false" customHeight="false" outlineLevel="0" collapsed="false">
      <c r="B16" s="25" t="s">
        <v>79</v>
      </c>
      <c r="C16" s="26" t="n">
        <f aca="false">SUM(C6:C15)</f>
        <v>1730000</v>
      </c>
    </row>
    <row r="17" customFormat="false" ht="15" hidden="false" customHeight="false" outlineLevel="0" collapsed="false">
      <c r="B17" s="14" t="s">
        <v>80</v>
      </c>
      <c r="C17" s="20" t="n">
        <v>0.15</v>
      </c>
    </row>
    <row r="18" customFormat="false" ht="15" hidden="false" customHeight="false" outlineLevel="0" collapsed="false">
      <c r="B18" s="14" t="s">
        <v>81</v>
      </c>
      <c r="C18" s="27" t="n">
        <f aca="false">ROUND(C16*C17,-4)</f>
        <v>260000</v>
      </c>
    </row>
    <row r="19" customFormat="false" ht="15" hidden="false" customHeight="false" outlineLevel="0" collapsed="false">
      <c r="B19" s="28" t="s">
        <v>82</v>
      </c>
      <c r="C19" s="29" t="n">
        <f aca="false">C16+C18</f>
        <v>1990000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8" min="3" style="0" width="14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B2" s="2" t="s">
        <v>83</v>
      </c>
    </row>
    <row r="3" customFormat="false" ht="19.7" hidden="false" customHeight="false" outlineLevel="0" collapsed="false">
      <c r="B3" s="3" t="s">
        <v>84</v>
      </c>
    </row>
    <row r="5" customFormat="false" ht="15" hidden="false" customHeight="false" outlineLevel="0" collapsed="false">
      <c r="B5" s="22"/>
      <c r="C5" s="23" t="s">
        <v>85</v>
      </c>
      <c r="D5" s="23" t="s">
        <v>86</v>
      </c>
      <c r="E5" s="23" t="s">
        <v>87</v>
      </c>
      <c r="F5" s="23" t="s">
        <v>88</v>
      </c>
      <c r="G5" s="23" t="s">
        <v>89</v>
      </c>
      <c r="H5" s="23" t="s">
        <v>90</v>
      </c>
    </row>
    <row r="6" customFormat="false" ht="15" hidden="false" customHeight="false" outlineLevel="0" collapsed="false">
      <c r="B6" s="14" t="s">
        <v>33</v>
      </c>
      <c r="D6" s="30" t="n">
        <f aca="false">Assumptions!$C$12</f>
        <v>4.5</v>
      </c>
      <c r="E6" s="30" t="n">
        <f aca="false">ROUND(D6*(1-Assumptions!$C$14),2)</f>
        <v>4.05</v>
      </c>
      <c r="F6" s="30" t="n">
        <f aca="false">ROUND(E6*(1-Assumptions!$C$14),2)</f>
        <v>3.65</v>
      </c>
      <c r="G6" s="30" t="n">
        <f aca="false">ROUND(F6*(1-Assumptions!$C$14),2)</f>
        <v>3.29</v>
      </c>
      <c r="H6" s="30" t="n">
        <f aca="false">ROUND(G6*(1-Assumptions!$C$14),2)</f>
        <v>2.96</v>
      </c>
    </row>
    <row r="7" customFormat="false" ht="15" hidden="false" customHeight="false" outlineLevel="0" collapsed="false">
      <c r="B7" s="14" t="s">
        <v>35</v>
      </c>
      <c r="D7" s="30" t="n">
        <f aca="false">Assumptions!$C$13</f>
        <v>6.25</v>
      </c>
      <c r="E7" s="30" t="n">
        <f aca="false">ROUND(D7*(1-Assumptions!$C$14),2)</f>
        <v>5.63</v>
      </c>
      <c r="F7" s="30" t="n">
        <f aca="false">ROUND(E7*(1-Assumptions!$C$14),2)</f>
        <v>5.07</v>
      </c>
      <c r="G7" s="30" t="n">
        <f aca="false">ROUND(F7*(1-Assumptions!$C$14),2)</f>
        <v>4.56</v>
      </c>
      <c r="H7" s="30" t="n">
        <f aca="false">ROUND(G7*(1-Assumptions!$C$14),2)</f>
        <v>4.1</v>
      </c>
    </row>
    <row r="8" customFormat="false" ht="15" hidden="false" customHeight="false" outlineLevel="0" collapsed="false">
      <c r="B8" s="14" t="s">
        <v>91</v>
      </c>
      <c r="D8" s="31" t="n">
        <f aca="false">Assumptions!$C$7*D6*Assumptions!$C$9</f>
        <v>1182600</v>
      </c>
      <c r="E8" s="31" t="n">
        <f aca="false">Assumptions!$C$7*E6*Assumptions!$C$9</f>
        <v>1064340</v>
      </c>
      <c r="F8" s="31" t="n">
        <f aca="false">Assumptions!$C$7*F6*Assumptions!$C$9</f>
        <v>959220</v>
      </c>
      <c r="G8" s="31" t="n">
        <f aca="false">Assumptions!$C$7*G6*Assumptions!$C$9</f>
        <v>864612</v>
      </c>
      <c r="H8" s="31" t="n">
        <f aca="false">Assumptions!$C$7*H6*Assumptions!$C$9</f>
        <v>777888</v>
      </c>
    </row>
    <row r="9" customFormat="false" ht="15" hidden="false" customHeight="false" outlineLevel="0" collapsed="false">
      <c r="B9" s="14" t="s">
        <v>92</v>
      </c>
      <c r="D9" s="31" t="n">
        <f aca="false">Assumptions!$C$8*D7*Assumptions!$C$9*Assumptions!$C$10</f>
        <v>0</v>
      </c>
      <c r="E9" s="31" t="n">
        <f aca="false">Assumptions!$C$8*E7*Assumptions!$C$9*Assumptions!$C$10</f>
        <v>0</v>
      </c>
      <c r="F9" s="31" t="n">
        <f aca="false">Assumptions!$C$8*F7*Assumptions!$C$9*Assumptions!$C$10</f>
        <v>0</v>
      </c>
      <c r="G9" s="31" t="n">
        <f aca="false">Assumptions!$C$8*G7*Assumptions!$C$9*Assumptions!$C$10</f>
        <v>0</v>
      </c>
      <c r="H9" s="31" t="n">
        <f aca="false">Assumptions!$C$8*H7*Assumptions!$C$9*Assumptions!$C$10</f>
        <v>0</v>
      </c>
    </row>
    <row r="10" customFormat="false" ht="15" hidden="false" customHeight="false" outlineLevel="0" collapsed="false">
      <c r="B10" s="25" t="s">
        <v>93</v>
      </c>
      <c r="D10" s="32" t="n">
        <f aca="false">D8+D9</f>
        <v>1182600</v>
      </c>
      <c r="E10" s="32" t="n">
        <f aca="false">E8+E9</f>
        <v>1064340</v>
      </c>
      <c r="F10" s="32" t="n">
        <f aca="false">F8+F9</f>
        <v>959220</v>
      </c>
      <c r="G10" s="32" t="n">
        <f aca="false">G8+G9</f>
        <v>864612</v>
      </c>
      <c r="H10" s="32" t="n">
        <f aca="false">H8+H9</f>
        <v>777888</v>
      </c>
    </row>
    <row r="11" customFormat="false" ht="15" hidden="false" customHeight="false" outlineLevel="0" collapsed="false">
      <c r="B11" s="14" t="s">
        <v>94</v>
      </c>
      <c r="D11" s="31" t="n">
        <f aca="false">Assumptions!$C$20+Assumptions!$C$21+Assumptions!$C$22+Assumptions!$C$23</f>
        <v>496900</v>
      </c>
      <c r="E11" s="31" t="n">
        <f aca="false">Assumptions!$C$20+Assumptions!$C$21+Assumptions!$C$22+Assumptions!$C$23</f>
        <v>496900</v>
      </c>
      <c r="F11" s="31" t="n">
        <f aca="false">Assumptions!$C$20+Assumptions!$C$21+Assumptions!$C$22+Assumptions!$C$23</f>
        <v>496900</v>
      </c>
      <c r="G11" s="31" t="n">
        <f aca="false">Assumptions!$C$20+Assumptions!$C$21+Assumptions!$C$22+Assumptions!$C$23</f>
        <v>496900</v>
      </c>
      <c r="H11" s="31" t="n">
        <f aca="false">Assumptions!$C$20+Assumptions!$C$21+Assumptions!$C$22+Assumptions!$C$23</f>
        <v>496900</v>
      </c>
    </row>
    <row r="12" customFormat="false" ht="15" hidden="false" customHeight="false" outlineLevel="0" collapsed="false">
      <c r="B12" s="25" t="s">
        <v>95</v>
      </c>
      <c r="D12" s="32" t="n">
        <f aca="false">D10-D11</f>
        <v>685700</v>
      </c>
      <c r="E12" s="32" t="n">
        <f aca="false">E10-E11</f>
        <v>567440</v>
      </c>
      <c r="F12" s="32" t="n">
        <f aca="false">F10-F11</f>
        <v>462320</v>
      </c>
      <c r="G12" s="32" t="n">
        <f aca="false">G10-G11</f>
        <v>367712</v>
      </c>
      <c r="H12" s="32" t="n">
        <f aca="false">H10-H11</f>
        <v>280988</v>
      </c>
    </row>
    <row r="13" customFormat="false" ht="15" hidden="false" customHeight="false" outlineLevel="0" collapsed="false">
      <c r="B13" s="14" t="s">
        <v>96</v>
      </c>
      <c r="D13" s="31" t="n">
        <f aca="false">D12</f>
        <v>685700</v>
      </c>
      <c r="E13" s="31" t="n">
        <f aca="false">D13+E12</f>
        <v>1253140</v>
      </c>
      <c r="F13" s="31" t="n">
        <f aca="false">E13+F12</f>
        <v>1715460</v>
      </c>
      <c r="G13" s="31" t="n">
        <f aca="false">F13+G12</f>
        <v>2083172</v>
      </c>
      <c r="H13" s="31" t="n">
        <f aca="false">G13+H12</f>
        <v>2364160</v>
      </c>
    </row>
    <row r="14" customFormat="false" ht="15" hidden="false" customHeight="false" outlineLevel="0" collapsed="false">
      <c r="B14" s="14" t="s">
        <v>97</v>
      </c>
      <c r="C14" s="33" t="n">
        <f aca="false">-Assumptions!$C$16</f>
        <v>-2000000</v>
      </c>
      <c r="D14" s="31" t="n">
        <f aca="false">D12</f>
        <v>685700</v>
      </c>
      <c r="E14" s="31" t="n">
        <f aca="false">E12</f>
        <v>567440</v>
      </c>
      <c r="F14" s="31" t="n">
        <f aca="false">F12</f>
        <v>462320</v>
      </c>
      <c r="G14" s="31" t="n">
        <f aca="false">G12</f>
        <v>367712</v>
      </c>
      <c r="H14" s="31" t="n">
        <f aca="false">H12+Assumptions!$C$17</f>
        <v>730988</v>
      </c>
    </row>
    <row r="16" customFormat="false" ht="15" hidden="false" customHeight="false" outlineLevel="0" collapsed="false">
      <c r="B16" s="2" t="s">
        <v>98</v>
      </c>
    </row>
    <row r="17" customFormat="false" ht="15" hidden="false" customHeight="false" outlineLevel="0" collapsed="false">
      <c r="B17" s="14" t="s">
        <v>99</v>
      </c>
      <c r="C17" s="34" t="n">
        <f aca="false">CAPEX!$C$19/D12</f>
        <v>2.90214379466239</v>
      </c>
    </row>
    <row r="18" customFormat="false" ht="15" hidden="false" customHeight="false" outlineLevel="0" collapsed="false">
      <c r="B18" s="14" t="s">
        <v>100</v>
      </c>
      <c r="C18" s="34" t="n">
        <f aca="false">IF(H13&lt;CAPEX!$C$19,99,IF(CAPEX!$C$19&lt;=D13,CAPEX!$C$19/D12,MATCH(CAPEX!$C$19,D13:H13,1)+(CAPEX!$C$19-INDEX(D13:H13,MATCH(CAPEX!$C$19,D13:H13,1)))/INDEX(D12:H12,MATCH(CAPEX!$C$19,D13:H13,1)+1)))</f>
        <v>3.74661691758768</v>
      </c>
      <c r="D18" s="12" t="s">
        <v>101</v>
      </c>
    </row>
    <row r="19" customFormat="false" ht="15" hidden="false" customHeight="false" outlineLevel="0" collapsed="false">
      <c r="B19" s="14" t="s">
        <v>102</v>
      </c>
      <c r="C19" s="35" t="n">
        <f aca="false">Assumptions!$C$7*Assumptions!$C$12*Assumptions!$C$9/4*Assumptions!$C$18</f>
        <v>295650</v>
      </c>
    </row>
    <row r="20" customFormat="false" ht="15" hidden="false" customHeight="false" outlineLevel="0" collapsed="false">
      <c r="B20" s="14" t="s">
        <v>103</v>
      </c>
      <c r="C20" s="34" t="n">
        <f aca="false">(CAPEX!$C$19-C19)/D12</f>
        <v>2.47097856205338</v>
      </c>
    </row>
    <row r="21" customFormat="false" ht="15" hidden="false" customHeight="false" outlineLevel="0" collapsed="false">
      <c r="B21" s="14" t="s">
        <v>104</v>
      </c>
      <c r="C21" s="35" t="n">
        <f aca="false">H13+Assumptions!$C$17</f>
        <v>2814160</v>
      </c>
    </row>
    <row r="22" customFormat="false" ht="15" hidden="false" customHeight="false" outlineLevel="0" collapsed="false">
      <c r="B22" s="14" t="s">
        <v>105</v>
      </c>
      <c r="C22" s="36" t="n">
        <f aca="false">C21/Assumptions!$C$16</f>
        <v>1.40708</v>
      </c>
    </row>
    <row r="23" customFormat="false" ht="15" hidden="false" customHeight="false" outlineLevel="0" collapsed="false">
      <c r="B23" s="14" t="s">
        <v>106</v>
      </c>
      <c r="C23" s="37" t="n">
        <f aca="false">IRR(C14:H14)</f>
        <v>0.128710936014602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4" min="3" style="0" width="16"/>
    <col collapsed="false" customWidth="true" hidden="false" outlineLevel="0" max="6" min="5" style="0" width="1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</row>
    <row r="2" customFormat="false" ht="15" hidden="false" customHeight="false" outlineLevel="0" collapsed="false">
      <c r="B2" s="2" t="s">
        <v>107</v>
      </c>
    </row>
    <row r="3" customFormat="false" ht="19.7" hidden="false" customHeight="false" outlineLevel="0" collapsed="false">
      <c r="B3" s="3" t="s">
        <v>108</v>
      </c>
    </row>
    <row r="5" customFormat="false" ht="15" hidden="false" customHeight="false" outlineLevel="0" collapsed="false">
      <c r="B5" s="22" t="s">
        <v>109</v>
      </c>
      <c r="C5" s="23" t="s">
        <v>110</v>
      </c>
      <c r="D5" s="23" t="s">
        <v>9</v>
      </c>
      <c r="E5" s="23" t="s">
        <v>10</v>
      </c>
      <c r="F5" s="23" t="s">
        <v>111</v>
      </c>
    </row>
    <row r="6" customFormat="false" ht="15" hidden="false" customHeight="false" outlineLevel="0" collapsed="false">
      <c r="B6" s="38" t="n">
        <v>4</v>
      </c>
      <c r="C6" s="31" t="n">
        <f aca="false">Assumptions!$C$7*B6*Assumptions!$C$9+Assumptions!$C$8*Assumptions!$C$13*Assumptions!$C$9*Assumptions!$C$10-(Assumptions!$C$20+Assumptions!$C$21+Assumptions!$C$22+Assumptions!$C$23)</f>
        <v>554300</v>
      </c>
      <c r="D6" s="39" t="n">
        <f aca="false">CAPEX!$C$19/C6</f>
        <v>3.59011365686451</v>
      </c>
      <c r="E6" s="39" t="n">
        <f aca="false">(CAPEX!$C$19-Assumptions!$C$7*B6*Assumptions!$C$9/4*Assumptions!$C$18)/C6</f>
        <v>3.11600216489266</v>
      </c>
      <c r="F6" s="40" t="n">
        <f aca="false">(Assumptions!$C$7*B6*Assumptions!$C$9)/(Assumptions!$C$20+Assumptions!$C$21+Assumptions!$C$22+Assumptions!$C$23)</f>
        <v>2.11551620044275</v>
      </c>
    </row>
    <row r="7" customFormat="false" ht="15" hidden="false" customHeight="false" outlineLevel="0" collapsed="false">
      <c r="B7" s="38" t="n">
        <v>4.25</v>
      </c>
      <c r="C7" s="31" t="n">
        <f aca="false">Assumptions!$C$7*B7*Assumptions!$C$9+Assumptions!$C$8*Assumptions!$C$13*Assumptions!$C$9*Assumptions!$C$10-(Assumptions!$C$20+Assumptions!$C$21+Assumptions!$C$22+Assumptions!$C$23)</f>
        <v>620000</v>
      </c>
      <c r="D7" s="39" t="n">
        <f aca="false">CAPEX!$C$19/C7</f>
        <v>3.20967741935484</v>
      </c>
      <c r="E7" s="39" t="n">
        <f aca="false">(CAPEX!$C$19-Assumptions!$C$7*B7*Assumptions!$C$9/4*Assumptions!$C$18)/C7</f>
        <v>2.75931451612903</v>
      </c>
      <c r="F7" s="40" t="n">
        <f aca="false">(Assumptions!$C$7*B7*Assumptions!$C$9)/(Assumptions!$C$20+Assumptions!$C$21+Assumptions!$C$22+Assumptions!$C$23)</f>
        <v>2.24773596297042</v>
      </c>
    </row>
    <row r="8" customFormat="false" ht="15" hidden="false" customHeight="false" outlineLevel="0" collapsed="false">
      <c r="B8" s="41" t="n">
        <v>4.5</v>
      </c>
      <c r="C8" s="42" t="n">
        <f aca="false">Assumptions!$C$7*B8*Assumptions!$C$9+Assumptions!$C$8*Assumptions!$C$13*Assumptions!$C$9*Assumptions!$C$10-(Assumptions!$C$20+Assumptions!$C$21+Assumptions!$C$22+Assumptions!$C$23)</f>
        <v>685700</v>
      </c>
      <c r="D8" s="43" t="n">
        <f aca="false">CAPEX!$C$19/C8</f>
        <v>2.90214379466239</v>
      </c>
      <c r="E8" s="43" t="n">
        <f aca="false">(CAPEX!$C$19-Assumptions!$C$7*B8*Assumptions!$C$9/4*Assumptions!$C$18)/C8</f>
        <v>2.47097856205338</v>
      </c>
      <c r="F8" s="44" t="n">
        <f aca="false">(Assumptions!$C$7*B8*Assumptions!$C$9)/(Assumptions!$C$20+Assumptions!$C$21+Assumptions!$C$22+Assumptions!$C$23)</f>
        <v>2.37995572549809</v>
      </c>
    </row>
    <row r="9" customFormat="false" ht="15" hidden="false" customHeight="false" outlineLevel="0" collapsed="false">
      <c r="B9" s="38" t="n">
        <v>4.75</v>
      </c>
      <c r="C9" s="31" t="n">
        <f aca="false">Assumptions!$C$7*B9*Assumptions!$C$9+Assumptions!$C$8*Assumptions!$C$13*Assumptions!$C$9*Assumptions!$C$10-(Assumptions!$C$20+Assumptions!$C$21+Assumptions!$C$22+Assumptions!$C$23)</f>
        <v>751400</v>
      </c>
      <c r="D9" s="39" t="n">
        <f aca="false">CAPEX!$C$19/C9</f>
        <v>2.64838967261113</v>
      </c>
      <c r="E9" s="39" t="n">
        <f aca="false">(CAPEX!$C$19-Assumptions!$C$7*B9*Assumptions!$C$9/4*Assumptions!$C$18)/C9</f>
        <v>2.23306494543519</v>
      </c>
      <c r="F9" s="40" t="n">
        <f aca="false">(Assumptions!$C$7*B9*Assumptions!$C$9)/(Assumptions!$C$20+Assumptions!$C$21+Assumptions!$C$22+Assumptions!$C$23)</f>
        <v>2.51217548802576</v>
      </c>
    </row>
    <row r="10" customFormat="false" ht="15" hidden="false" customHeight="false" outlineLevel="0" collapsed="false">
      <c r="B10" s="38" t="n">
        <v>5</v>
      </c>
      <c r="C10" s="31" t="n">
        <f aca="false">Assumptions!$C$7*B10*Assumptions!$C$9+Assumptions!$C$8*Assumptions!$C$13*Assumptions!$C$9*Assumptions!$C$10-(Assumptions!$C$20+Assumptions!$C$21+Assumptions!$C$22+Assumptions!$C$23)</f>
        <v>817100</v>
      </c>
      <c r="D10" s="39" t="n">
        <f aca="false">CAPEX!$C$19/C10</f>
        <v>2.43544241830865</v>
      </c>
      <c r="E10" s="39" t="n">
        <f aca="false">(CAPEX!$C$19-Assumptions!$C$7*B10*Assumptions!$C$9/4*Assumptions!$C$18)/C10</f>
        <v>2.03341084322604</v>
      </c>
      <c r="F10" s="40" t="n">
        <f aca="false">(Assumptions!$C$7*B10*Assumptions!$C$9)/(Assumptions!$C$20+Assumptions!$C$21+Assumptions!$C$22+Assumptions!$C$23)</f>
        <v>2.64439525055343</v>
      </c>
    </row>
    <row r="12" customFormat="false" ht="15" hidden="false" customHeight="false" outlineLevel="0" collapsed="false">
      <c r="B12" s="45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7"/>
    <col collapsed="false" customWidth="true" hidden="false" outlineLevel="0" max="6" min="6" style="0" width="19"/>
    <col collapsed="false" customWidth="true" hidden="false" outlineLevel="0" max="8" min="7" style="0" width="11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B2" s="2" t="s">
        <v>113</v>
      </c>
    </row>
    <row r="3" customFormat="false" ht="19.7" hidden="false" customHeight="false" outlineLevel="0" collapsed="false">
      <c r="B3" s="3" t="s">
        <v>114</v>
      </c>
    </row>
    <row r="5" customFormat="false" ht="15" hidden="false" customHeight="false" outlineLevel="0" collapsed="false">
      <c r="B5" s="22" t="s">
        <v>115</v>
      </c>
      <c r="C5" s="23" t="s">
        <v>116</v>
      </c>
      <c r="D5" s="23" t="s">
        <v>117</v>
      </c>
      <c r="E5" s="23" t="s">
        <v>118</v>
      </c>
      <c r="F5" s="23" t="s">
        <v>119</v>
      </c>
      <c r="G5" s="23" t="s">
        <v>13</v>
      </c>
      <c r="H5" s="23" t="s">
        <v>120</v>
      </c>
    </row>
    <row r="6" customFormat="false" ht="15" hidden="false" customHeight="false" outlineLevel="0" collapsed="false">
      <c r="B6" s="46" t="s">
        <v>121</v>
      </c>
      <c r="C6" s="21" t="n">
        <v>250000</v>
      </c>
      <c r="D6" s="47" t="n">
        <f aca="false">C6/Assumptions!$C$16</f>
        <v>0.125</v>
      </c>
      <c r="E6" s="31" t="n">
        <f aca="false">D6*'5-Year Model'!$D$12</f>
        <v>85712.5</v>
      </c>
      <c r="F6" s="31" t="n">
        <f aca="false">D6*('5-Year Model'!$H$13+Assumptions!$C$17)</f>
        <v>351770</v>
      </c>
      <c r="G6" s="40" t="n">
        <f aca="false">F6/C6</f>
        <v>1.40708</v>
      </c>
      <c r="H6" s="48" t="n">
        <f aca="false">'5-Year Model'!$C$23</f>
        <v>0.128710936014602</v>
      </c>
    </row>
    <row r="7" customFormat="false" ht="15" hidden="false" customHeight="false" outlineLevel="0" collapsed="false">
      <c r="B7" s="46" t="s">
        <v>122</v>
      </c>
      <c r="C7" s="21" t="n">
        <v>500000</v>
      </c>
      <c r="D7" s="47" t="n">
        <f aca="false">C7/Assumptions!$C$16</f>
        <v>0.25</v>
      </c>
      <c r="E7" s="31" t="n">
        <f aca="false">D7*'5-Year Model'!$D$12</f>
        <v>171425</v>
      </c>
      <c r="F7" s="31" t="n">
        <f aca="false">D7*('5-Year Model'!$H$13+Assumptions!$C$17)</f>
        <v>703540</v>
      </c>
      <c r="G7" s="40" t="n">
        <f aca="false">F7/C7</f>
        <v>1.40708</v>
      </c>
      <c r="H7" s="48" t="n">
        <f aca="false">'5-Year Model'!$C$23</f>
        <v>0.128710936014602</v>
      </c>
    </row>
    <row r="8" customFormat="false" ht="15" hidden="false" customHeight="false" outlineLevel="0" collapsed="false">
      <c r="B8" s="46" t="s">
        <v>123</v>
      </c>
      <c r="C8" s="21" t="n">
        <v>1000000</v>
      </c>
      <c r="D8" s="47" t="n">
        <f aca="false">C8/Assumptions!$C$16</f>
        <v>0.5</v>
      </c>
      <c r="E8" s="31" t="n">
        <f aca="false">D8*'5-Year Model'!$D$12</f>
        <v>342850</v>
      </c>
      <c r="F8" s="31" t="n">
        <f aca="false">D8*('5-Year Model'!$H$13+Assumptions!$C$17)</f>
        <v>1407080</v>
      </c>
      <c r="G8" s="40" t="n">
        <f aca="false">F8/C8</f>
        <v>1.40708</v>
      </c>
      <c r="H8" s="48" t="n">
        <f aca="false">'5-Year Model'!$C$23</f>
        <v>0.128710936014602</v>
      </c>
    </row>
    <row r="9" customFormat="false" ht="15" hidden="false" customHeight="false" outlineLevel="0" collapsed="false">
      <c r="B9" s="46" t="s">
        <v>124</v>
      </c>
      <c r="C9" s="21" t="n">
        <v>2000000</v>
      </c>
      <c r="D9" s="47" t="n">
        <f aca="false">C9/Assumptions!$C$16</f>
        <v>1</v>
      </c>
      <c r="E9" s="31" t="n">
        <f aca="false">D9*'5-Year Model'!$D$12</f>
        <v>685700</v>
      </c>
      <c r="F9" s="31" t="n">
        <f aca="false">D9*('5-Year Model'!$H$13+Assumptions!$C$17)</f>
        <v>2814160</v>
      </c>
      <c r="G9" s="40" t="n">
        <f aca="false">F9/C9</f>
        <v>1.40708</v>
      </c>
      <c r="H9" s="48" t="n">
        <f aca="false">'5-Year Model'!$C$23</f>
        <v>0.128710936014602</v>
      </c>
    </row>
    <row r="11" customFormat="false" ht="15" hidden="false" customHeight="false" outlineLevel="0" collapsed="false">
      <c r="B11" s="13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6"/>
    <col collapsed="false" customWidth="true" hidden="false" outlineLevel="0" max="8" min="4" style="0" width="14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B2" s="2" t="s">
        <v>126</v>
      </c>
    </row>
    <row r="3" customFormat="false" ht="19.7" hidden="false" customHeight="false" outlineLevel="0" collapsed="false">
      <c r="B3" s="3" t="s">
        <v>127</v>
      </c>
    </row>
    <row r="5" customFormat="false" ht="15" hidden="false" customHeight="false" outlineLevel="0" collapsed="false">
      <c r="B5" s="14" t="s">
        <v>128</v>
      </c>
      <c r="C5" s="49" t="n">
        <v>1000000</v>
      </c>
    </row>
    <row r="6" customFormat="false" ht="15" hidden="false" customHeight="false" outlineLevel="0" collapsed="false">
      <c r="B6" s="14" t="s">
        <v>129</v>
      </c>
      <c r="C6" s="20" t="n">
        <v>0.11</v>
      </c>
    </row>
    <row r="7" customFormat="false" ht="15" hidden="false" customHeight="false" outlineLevel="0" collapsed="false">
      <c r="B7" s="14" t="s">
        <v>130</v>
      </c>
      <c r="C7" s="50" t="n">
        <v>5</v>
      </c>
    </row>
    <row r="8" customFormat="false" ht="15" hidden="false" customHeight="false" outlineLevel="0" collapsed="false">
      <c r="B8" s="14" t="s">
        <v>131</v>
      </c>
      <c r="C8" s="32" t="n">
        <f aca="false">Assumptions!$C$16-'Debt Option'!$C$5</f>
        <v>1000000</v>
      </c>
    </row>
    <row r="9" customFormat="false" ht="15" hidden="false" customHeight="false" outlineLevel="0" collapsed="false">
      <c r="B9" s="14" t="s">
        <v>132</v>
      </c>
      <c r="C9" s="32" t="n">
        <f aca="false">-PMT('Debt Option'!$C$6,'Debt Option'!$C$7,'Debt Option'!$C$5)</f>
        <v>270570.309514735</v>
      </c>
    </row>
    <row r="10" customFormat="false" ht="15" hidden="false" customHeight="false" outlineLevel="0" collapsed="false">
      <c r="B10" s="14" t="s">
        <v>133</v>
      </c>
      <c r="C10" s="36" t="n">
        <f aca="false">'5-Year Model'!$D$12/'Debt Option'!$C$9</f>
        <v>2.53427658500224</v>
      </c>
    </row>
    <row r="12" customFormat="false" ht="15" hidden="false" customHeight="false" outlineLevel="0" collapsed="false">
      <c r="B12" s="22" t="s">
        <v>134</v>
      </c>
      <c r="C12" s="23" t="s">
        <v>85</v>
      </c>
      <c r="D12" s="23" t="s">
        <v>86</v>
      </c>
      <c r="E12" s="23" t="s">
        <v>87</v>
      </c>
      <c r="F12" s="23" t="s">
        <v>88</v>
      </c>
      <c r="G12" s="23" t="s">
        <v>89</v>
      </c>
      <c r="H12" s="23" t="s">
        <v>90</v>
      </c>
    </row>
    <row r="13" customFormat="false" ht="15" hidden="false" customHeight="false" outlineLevel="0" collapsed="false">
      <c r="B13" s="14" t="s">
        <v>135</v>
      </c>
      <c r="C13" s="33" t="n">
        <f aca="false">-'Debt Option'!$C$8</f>
        <v>-1000000</v>
      </c>
      <c r="D13" s="51" t="n">
        <f aca="false">'5-Year Model'!D12-'Debt Option'!$C$9</f>
        <v>415129.690485265</v>
      </c>
      <c r="E13" s="51" t="n">
        <f aca="false">'5-Year Model'!E12-'Debt Option'!$C$9</f>
        <v>296869.690485265</v>
      </c>
      <c r="F13" s="51" t="n">
        <f aca="false">'5-Year Model'!F12-'Debt Option'!$C$9</f>
        <v>191749.690485265</v>
      </c>
      <c r="G13" s="51" t="n">
        <f aca="false">'5-Year Model'!G12-'Debt Option'!$C$9</f>
        <v>97141.6904852655</v>
      </c>
      <c r="H13" s="51" t="n">
        <f aca="false">'5-Year Model'!H12-'Debt Option'!$C$9+Assumptions!$C$17</f>
        <v>460417.690485265</v>
      </c>
    </row>
    <row r="15" customFormat="false" ht="15" hidden="false" customHeight="false" outlineLevel="0" collapsed="false">
      <c r="B15" s="14" t="s">
        <v>136</v>
      </c>
      <c r="C15" s="37" t="n">
        <f aca="false">D13/'Debt Option'!$C$8</f>
        <v>0.415129690485265</v>
      </c>
    </row>
    <row r="16" customFormat="false" ht="15" hidden="false" customHeight="false" outlineLevel="0" collapsed="false">
      <c r="B16" s="14" t="s">
        <v>137</v>
      </c>
      <c r="C16" s="36" t="n">
        <f aca="false">SUM(D13:H13)/'Debt Option'!$C$8</f>
        <v>1.46130845242633</v>
      </c>
    </row>
    <row r="17" customFormat="false" ht="15" hidden="false" customHeight="false" outlineLevel="0" collapsed="false">
      <c r="B17" s="14" t="s">
        <v>138</v>
      </c>
      <c r="C17" s="37" t="n">
        <f aca="false">IRR(C13:H13)</f>
        <v>0.1482000883856</v>
      </c>
    </row>
    <row r="19" customFormat="false" ht="15" hidden="false" customHeight="false" outlineLevel="0" collapsed="false">
      <c r="B19" s="13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2026-07-19T14:23:51Z</dcterms:created>
  <dc:creator>openpyxl</dc:creator>
  <dc:description/>
  <dc:language>en-US</dc:language>
  <cp:lastModifiedBy/>
  <dcterms:modified xsi:type="dcterms:W3CDTF">2026-07-19T14:23:51Z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