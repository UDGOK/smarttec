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CAPEX" sheetId="3" state="visible" r:id="rId3"/>
    <sheet xmlns:r="http://schemas.openxmlformats.org/officeDocument/2006/relationships" name="5-Year Model" sheetId="4" state="visible" r:id="rId4"/>
    <sheet xmlns:r="http://schemas.openxmlformats.org/officeDocument/2006/relationships" name="Sensitivity" sheetId="5" state="visible" r:id="rId5"/>
    <sheet xmlns:r="http://schemas.openxmlformats.org/officeDocument/2006/relationships" name="Investment Tiers" sheetId="6" state="visible" r:id="rId6"/>
    <sheet xmlns:r="http://schemas.openxmlformats.org/officeDocument/2006/relationships" name="Debt Option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$#,##0"/>
    <numFmt numFmtId="165" formatCode="0.0%"/>
    <numFmt numFmtId="166" formatCode="\$0.00&quot;/hr&quot;"/>
    <numFmt numFmtId="167" formatCode="0.00&quot; yr&quot;"/>
    <numFmt numFmtId="168" formatCode="0.00\x"/>
    <numFmt numFmtId="169" formatCode="\$#,##0;&quot;($&quot;#,##0\)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onsolas"/>
      <charset val="1"/>
      <family val="0"/>
      <b val="1"/>
      <color rgb="FF0AA96E"/>
      <sz val="8"/>
    </font>
    <font>
      <name val="Arial Black"/>
      <charset val="1"/>
      <family val="0"/>
      <b val="1"/>
      <color rgb="FF3D3B4F"/>
      <sz val="16"/>
    </font>
    <font>
      <name val="Arial"/>
      <charset val="1"/>
      <family val="0"/>
      <color rgb="FF6D6C7E"/>
      <sz val="10"/>
    </font>
    <font>
      <name val="Arial"/>
      <charset val="1"/>
      <family val="0"/>
      <color rgb="FF3D3B4F"/>
      <sz val="10"/>
    </font>
    <font>
      <name val="Arial"/>
      <charset val="1"/>
      <family val="0"/>
      <b val="1"/>
      <color rgb="FF3D3B4F"/>
      <sz val="10"/>
    </font>
    <font>
      <name val="Arial"/>
      <charset val="1"/>
      <family val="0"/>
      <color rgb="FF3D3B4F"/>
      <sz val="9"/>
    </font>
    <font>
      <name val="Arial"/>
      <charset val="1"/>
      <family val="0"/>
      <i val="1"/>
      <color rgb="FF6D6C7E"/>
      <sz val="8"/>
    </font>
    <font>
      <name val="Arial"/>
      <charset val="1"/>
      <family val="0"/>
      <i val="1"/>
      <color rgb="FF6D6C7E"/>
      <sz val="9"/>
    </font>
    <font>
      <name val="Arial"/>
      <charset val="1"/>
      <family val="0"/>
      <color rgb="FF0000FF"/>
      <sz val="10"/>
    </font>
    <font>
      <name val="Arial"/>
      <charset val="1"/>
      <family val="0"/>
      <color rgb="FF6D6C7E"/>
      <sz val="8.5"/>
    </font>
    <font>
      <name val="Arial"/>
      <charset val="1"/>
      <family val="0"/>
      <b val="1"/>
      <color rgb="FFFFFFFF"/>
      <sz val="9"/>
    </font>
    <font>
      <name val="Arial"/>
      <charset val="1"/>
      <family val="0"/>
      <i val="1"/>
      <color rgb="FF0AA96E"/>
      <sz val="9"/>
    </font>
    <font>
      <name val="Arial"/>
      <charset val="1"/>
      <family val="0"/>
      <color rgb="FF008000"/>
      <sz val="10"/>
    </font>
  </fonts>
  <fills count="7">
    <fill>
      <patternFill/>
    </fill>
    <fill>
      <patternFill patternType="gray125"/>
    </fill>
    <fill>
      <patternFill patternType="solid">
        <fgColor rgb="FF28E99F"/>
        <bgColor rgb="FF00FFFF"/>
      </patternFill>
    </fill>
    <fill>
      <patternFill patternType="solid">
        <fgColor rgb="FFEEEEEE"/>
        <bgColor rgb="FFDFF7EC"/>
      </patternFill>
    </fill>
    <fill>
      <patternFill patternType="solid">
        <fgColor rgb="FFDFF7EC"/>
        <bgColor rgb="FFEEEEEE"/>
      </patternFill>
    </fill>
    <fill>
      <patternFill patternType="solid">
        <fgColor rgb="FFFFFF00"/>
        <bgColor rgb="FFFFFF00"/>
      </patternFill>
    </fill>
    <fill>
      <patternFill patternType="solid">
        <fgColor rgb="FF3D3B4F"/>
        <bgColor rgb="FF333399"/>
      </patternFill>
    </fill>
  </fills>
  <borders count="3">
    <border>
      <left/>
      <right/>
      <top/>
      <bottom/>
      <diagonal/>
    </border>
    <border>
      <left style="thin">
        <color rgb="FFD6D6D6"/>
      </left>
      <right style="thin">
        <color rgb="FFD6D6D6"/>
      </right>
      <top style="thin">
        <color rgb="FFD6D6D6"/>
      </top>
      <bottom style="thin">
        <color rgb="FFD6D6D6"/>
      </bottom>
      <diagonal/>
    </border>
    <border>
      <left/>
      <right/>
      <top style="medium">
        <color rgb="FF3D3B4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5"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164" fontId="8" fillId="4" borderId="1" applyAlignment="1" pivotButton="0" quotePrefix="0" xfId="0">
      <alignment horizontal="right" vertical="bottom"/>
    </xf>
    <xf numFmtId="165" fontId="8" fillId="4" borderId="1" applyAlignment="1" pivotButton="0" quotePrefix="0" xfId="0">
      <alignment horizontal="right" vertical="bottom"/>
    </xf>
    <xf numFmtId="166" fontId="8" fillId="4" borderId="1" applyAlignment="1" pivotButton="0" quotePrefix="0" xfId="0">
      <alignment horizontal="right" vertical="bottom"/>
    </xf>
    <xf numFmtId="167" fontId="8" fillId="4" borderId="1" applyAlignment="1" pivotButton="0" quotePrefix="0" xfId="0">
      <alignment horizontal="right" vertical="bottom"/>
    </xf>
    <xf numFmtId="168" fontId="8" fillId="4" borderId="1" applyAlignment="1" pivotButton="0" quotePrefix="0" xfId="0">
      <alignment horizontal="right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" fontId="12" fillId="3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3" fontId="12" fillId="3" borderId="1" applyAlignment="1" pivotButton="0" quotePrefix="0" xfId="0">
      <alignment horizontal="general" vertical="bottom"/>
    </xf>
    <xf numFmtId="165" fontId="12" fillId="3" borderId="1" applyAlignment="1" pivotButton="0" quotePrefix="0" xfId="0">
      <alignment horizontal="general" vertical="bottom"/>
    </xf>
    <xf numFmtId="166" fontId="12" fillId="5" borderId="1" applyAlignment="1" pivotButton="0" quotePrefix="0" xfId="0">
      <alignment horizontal="general" vertical="bottom"/>
    </xf>
    <xf numFmtId="165" fontId="12" fillId="5" borderId="1" applyAlignment="1" pivotButton="0" quotePrefix="0" xfId="0">
      <alignment horizontal="general" vertical="bottom"/>
    </xf>
    <xf numFmtId="164" fontId="12" fillId="3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left" vertical="bottom"/>
    </xf>
    <xf numFmtId="0" fontId="14" fillId="6" borderId="1" applyAlignment="1" pivotButton="0" quotePrefix="0" xfId="0">
      <alignment horizontal="right" vertical="bottom"/>
    </xf>
    <xf numFmtId="0" fontId="7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8" fillId="0" borderId="2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164" fontId="8" fillId="4" borderId="2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167" fontId="8" fillId="4" borderId="1" applyAlignment="1" pivotButton="0" quotePrefix="0" xfId="0">
      <alignment horizontal="general" vertical="bottom"/>
    </xf>
    <xf numFmtId="164" fontId="8" fillId="4" borderId="1" applyAlignment="1" pivotButton="0" quotePrefix="0" xfId="0">
      <alignment horizontal="general" vertical="bottom"/>
    </xf>
    <xf numFmtId="168" fontId="8" fillId="4" borderId="1" applyAlignment="1" pivotButton="0" quotePrefix="0" xfId="0">
      <alignment horizontal="general" vertical="bottom"/>
    </xf>
    <xf numFmtId="165" fontId="8" fillId="4" borderId="1" applyAlignment="1" pivotButton="0" quotePrefix="0" xfId="0">
      <alignment horizontal="general" vertical="bottom"/>
    </xf>
    <xf numFmtId="166" fontId="12" fillId="3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6" fontId="12" fillId="4" borderId="1" applyAlignment="1" pivotButton="0" quotePrefix="0" xfId="0">
      <alignment horizontal="general" vertical="bottom"/>
    </xf>
    <xf numFmtId="164" fontId="7" fillId="4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168" fontId="7" fillId="4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5" fontId="16" fillId="0" borderId="1" applyAlignment="1" pivotButton="0" quotePrefix="0" xfId="0">
      <alignment horizontal="general" vertical="bottom"/>
    </xf>
    <xf numFmtId="164" fontId="12" fillId="5" borderId="1" applyAlignment="1" pivotButton="0" quotePrefix="0" xfId="0">
      <alignment horizontal="general" vertical="bottom"/>
    </xf>
    <xf numFmtId="1" fontId="12" fillId="5" borderId="1" applyAlignment="1" pivotButton="0" quotePrefix="0" xfId="0">
      <alignment horizontal="general" vertical="bottom"/>
    </xf>
    <xf numFmtId="169" fontId="1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164" fontId="8" fillId="4" borderId="1" applyAlignment="1" pivotButton="0" quotePrefix="0" xfId="0">
      <alignment horizontal="right" vertical="bottom"/>
    </xf>
    <xf numFmtId="165" fontId="8" fillId="4" borderId="1" applyAlignment="1" pivotButton="0" quotePrefix="0" xfId="0">
      <alignment horizontal="right" vertical="bottom"/>
    </xf>
    <xf numFmtId="166" fontId="8" fillId="4" borderId="1" applyAlignment="1" pivotButton="0" quotePrefix="0" xfId="0">
      <alignment horizontal="right" vertical="bottom"/>
    </xf>
    <xf numFmtId="167" fontId="8" fillId="4" borderId="1" applyAlignment="1" pivotButton="0" quotePrefix="0" xfId="0">
      <alignment horizontal="right" vertical="bottom"/>
    </xf>
    <xf numFmtId="168" fontId="8" fillId="4" borderId="1" applyAlignment="1" pivotButton="0" quotePrefix="0" xfId="0">
      <alignment horizontal="right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" fontId="12" fillId="3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3" fontId="12" fillId="3" borderId="1" applyAlignment="1" pivotButton="0" quotePrefix="0" xfId="0">
      <alignment horizontal="general" vertical="bottom"/>
    </xf>
    <xf numFmtId="165" fontId="12" fillId="3" borderId="1" applyAlignment="1" pivotButton="0" quotePrefix="0" xfId="0">
      <alignment horizontal="general" vertical="bottom"/>
    </xf>
    <xf numFmtId="166" fontId="12" fillId="5" borderId="1" applyAlignment="1" pivotButton="0" quotePrefix="0" xfId="0">
      <alignment horizontal="general" vertical="bottom"/>
    </xf>
    <xf numFmtId="165" fontId="12" fillId="5" borderId="1" applyAlignment="1" pivotButton="0" quotePrefix="0" xfId="0">
      <alignment horizontal="general" vertical="bottom"/>
    </xf>
    <xf numFmtId="164" fontId="12" fillId="3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left" vertical="bottom"/>
    </xf>
    <xf numFmtId="0" fontId="14" fillId="6" borderId="1" applyAlignment="1" pivotButton="0" quotePrefix="0" xfId="0">
      <alignment horizontal="right" vertical="bottom"/>
    </xf>
    <xf numFmtId="0" fontId="7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8" fillId="0" borderId="2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164" fontId="8" fillId="4" borderId="2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167" fontId="8" fillId="4" borderId="1" applyAlignment="1" pivotButton="0" quotePrefix="0" xfId="0">
      <alignment horizontal="general" vertical="bottom"/>
    </xf>
    <xf numFmtId="164" fontId="8" fillId="4" borderId="1" applyAlignment="1" pivotButton="0" quotePrefix="0" xfId="0">
      <alignment horizontal="general" vertical="bottom"/>
    </xf>
    <xf numFmtId="168" fontId="8" fillId="4" borderId="1" applyAlignment="1" pivotButton="0" quotePrefix="0" xfId="0">
      <alignment horizontal="general" vertical="bottom"/>
    </xf>
    <xf numFmtId="165" fontId="8" fillId="4" borderId="1" applyAlignment="1" pivotButton="0" quotePrefix="0" xfId="0">
      <alignment horizontal="general" vertical="bottom"/>
    </xf>
    <xf numFmtId="166" fontId="12" fillId="3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6" fontId="12" fillId="4" borderId="1" applyAlignment="1" pivotButton="0" quotePrefix="0" xfId="0">
      <alignment horizontal="general" vertical="bottom"/>
    </xf>
    <xf numFmtId="164" fontId="7" fillId="4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168" fontId="7" fillId="4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5" fontId="16" fillId="0" borderId="1" applyAlignment="1" pivotButton="0" quotePrefix="0" xfId="0">
      <alignment horizontal="general" vertical="bottom"/>
    </xf>
    <xf numFmtId="164" fontId="12" fillId="5" borderId="1" applyAlignment="1" pivotButton="0" quotePrefix="0" xfId="0">
      <alignment horizontal="general" vertical="bottom"/>
    </xf>
    <xf numFmtId="1" fontId="12" fillId="5" borderId="1" applyAlignment="1" pivotButton="0" quotePrefix="0" xfId="0">
      <alignment horizontal="general" vertical="bottom"/>
    </xf>
    <xf numFmtId="169" fontId="16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EEE"/>
      <rgbColor rgb="FFDFF7EC"/>
      <rgbColor rgb="FF660066"/>
      <rgbColor rgb="FFFF8080"/>
      <rgbColor rgb="FF0066CC"/>
      <rgbColor rgb="FFD6D6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28E99F"/>
      <rgbColor rgb="FF99CC00"/>
      <rgbColor rgb="FFFFCC00"/>
      <rgbColor rgb="FFFF9900"/>
      <rgbColor rgb="FFFF6600"/>
      <rgbColor rgb="FF6D6C7E"/>
      <rgbColor rgb="FF969696"/>
      <rgbColor rgb="FF003366"/>
      <rgbColor rgb="FF0AA96E"/>
      <rgbColor rgb="FF003300"/>
      <rgbColor rgb="FF333300"/>
      <rgbColor rgb="FF993300"/>
      <rgbColor rgb="FF993366"/>
      <rgbColor rgb="FF333399"/>
      <rgbColor rgb="FF3D3B4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52" min="1" max="1"/>
    <col width="24" customWidth="1" style="52" min="2" max="2"/>
    <col width="18" customWidth="1" style="52" min="3" max="3"/>
    <col width="4" customWidth="1" style="52" min="4" max="4"/>
    <col width="24" customWidth="1" style="52" min="5" max="5"/>
    <col width="18" customWidth="1" style="52" min="6" max="6"/>
    <col width="4" customWidth="1" style="52" min="7" max="7"/>
  </cols>
  <sheetData>
    <row r="1" ht="15" customHeight="1" s="53">
      <c r="A1" s="54" t="n"/>
      <c r="B1" s="54" t="n"/>
      <c r="C1" s="54" t="n"/>
      <c r="D1" s="54" t="n"/>
      <c r="E1" s="54" t="n"/>
      <c r="F1" s="54" t="n"/>
      <c r="G1" s="54" t="n"/>
      <c r="H1" s="54" t="n"/>
    </row>
    <row r="2" ht="15" customHeight="1" s="53">
      <c r="A2" s="54" t="n"/>
      <c r="B2" s="54" t="n"/>
      <c r="C2" s="54" t="n"/>
      <c r="D2" s="54" t="n"/>
      <c r="E2" s="54" t="n"/>
      <c r="F2" s="54" t="n"/>
      <c r="G2" s="54" t="n"/>
      <c r="H2" s="54" t="n"/>
    </row>
    <row r="4" ht="15" customHeight="1" s="53">
      <c r="B4" s="55" t="inlineStr">
        <is>
          <t>[ SMARTTEC.DEV · MEAD DATA CENTER · LIVE MODEL — EDIT YELLOW CELLS ON ASSUMPTIONS ]</t>
        </is>
      </c>
    </row>
    <row r="5" ht="19.7" customHeight="1" s="53">
      <c r="B5" s="56" t="inlineStr">
        <is>
          <t>INVESTOR DASHBOARD</t>
        </is>
      </c>
    </row>
    <row r="6" ht="15" customHeight="1" s="53">
      <c r="B6" s="57" t="inlineStr">
        <is>
          <t>30× NVIDIA B200 · battery-backed AI compute · Mead, Oklahoma</t>
        </is>
      </c>
    </row>
    <row r="8" ht="15" customHeight="1" s="53">
      <c r="B8" s="58" t="inlineStr">
        <is>
          <t>Total raise</t>
        </is>
      </c>
      <c r="C8" s="59">
        <f>Assumptions!$C$16</f>
        <v/>
      </c>
      <c r="E8" s="58" t="inlineStr">
        <is>
          <t>Total CAPEX</t>
        </is>
      </c>
      <c r="F8" s="59">
        <f>CAPEX!$C$19</f>
        <v/>
      </c>
    </row>
    <row r="9" ht="15" customHeight="1" s="53">
      <c r="B9" s="58" t="inlineStr">
        <is>
          <t>Y1 gross revenue</t>
        </is>
      </c>
      <c r="C9" s="59">
        <f>'5-Year Model'!D10</f>
        <v/>
      </c>
      <c r="E9" s="58" t="inlineStr">
        <is>
          <t>Y1 net cash flow</t>
        </is>
      </c>
      <c r="F9" s="59">
        <f>'5-Year Model'!$D$12</f>
        <v/>
      </c>
    </row>
    <row r="10" ht="15" customHeight="1" s="53">
      <c r="B10" s="58" t="inlineStr">
        <is>
          <t>Y1 operating margin</t>
        </is>
      </c>
      <c r="C10" s="60">
        <f>'5-Year Model'!$D$12/'5-Year Model'!D10</f>
        <v/>
      </c>
      <c r="E10" s="58" t="inlineStr">
        <is>
          <t>Reserved rate (base)</t>
        </is>
      </c>
      <c r="F10" s="61">
        <f>Assumptions!$C$12</f>
        <v/>
      </c>
    </row>
    <row r="11" ht="15" customHeight="1" s="53">
      <c r="B11" s="58" t="inlineStr">
        <is>
          <t>Flat payback</t>
        </is>
      </c>
      <c r="C11" s="62">
        <f>'5-Year Model'!C17</f>
        <v/>
      </c>
      <c r="E11" s="58" t="inlineStr">
        <is>
          <t>Cash payback (prepay)</t>
        </is>
      </c>
      <c r="F11" s="62">
        <f>'5-Year Model'!C20</f>
        <v/>
      </c>
    </row>
    <row r="12" ht="15" customHeight="1" s="53">
      <c r="B12" s="58" t="inlineStr">
        <is>
          <t>Decay payback</t>
        </is>
      </c>
      <c r="C12" s="62">
        <f>'5-Year Model'!C18</f>
        <v/>
      </c>
      <c r="E12" s="58" t="inlineStr">
        <is>
          <t>5-yr cash + residual</t>
        </is>
      </c>
      <c r="F12" s="59">
        <f>'5-Year Model'!C21</f>
        <v/>
      </c>
    </row>
    <row r="13" ht="15" customHeight="1" s="53">
      <c r="B13" s="58" t="inlineStr">
        <is>
          <t>MOIC</t>
        </is>
      </c>
      <c r="C13" s="63">
        <f>'5-Year Model'!C22</f>
        <v/>
      </c>
      <c r="E13" s="58" t="inlineStr">
        <is>
          <t>Project IRR</t>
        </is>
      </c>
      <c r="F13" s="60">
        <f>'5-Year Model'!$C$23</f>
        <v/>
      </c>
    </row>
    <row r="15" ht="15" customHeight="1" s="53">
      <c r="B15" s="55" t="inlineStr">
        <is>
          <t>[ HOW TO USE ]</t>
        </is>
      </c>
    </row>
    <row r="16" ht="15" customHeight="1" s="53">
      <c r="B16" s="64" t="inlineStr">
        <is>
          <t>1. Edit yellow cells on Assumptions (reserved rate, decay, on-demand rate) and blue cells anywhere.</t>
        </is>
      </c>
    </row>
    <row r="17" ht="15" customHeight="1" s="53">
      <c r="B17" s="64" t="inlineStr">
        <is>
          <t>2. Dashboard, 5-Year Model, Sensitivity, and Tiers recalculate automatically.</t>
        </is>
      </c>
    </row>
    <row r="18" ht="15" customHeight="1" s="53">
      <c r="B18" s="64" t="inlineStr">
        <is>
          <t>3. Sensitivity tab shows outcomes across the $4.00–$5.00 negotiation range.</t>
        </is>
      </c>
    </row>
    <row r="20" ht="15" customHeight="1" s="53">
      <c r="B20" s="65" t="inlineStr">
        <is>
          <t>Prepared July 2026 · figures audited against market data · illustrative only, not an offer of securities.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52" min="1" max="1"/>
    <col width="42" customWidth="1" style="52" min="2" max="2"/>
    <col width="16" customWidth="1" style="52" min="3" max="3"/>
    <col width="52" customWidth="1" style="52" min="4" max="4"/>
  </cols>
  <sheetData>
    <row r="1" ht="15" customHeight="1" s="53">
      <c r="A1" s="54" t="n"/>
      <c r="B1" s="54" t="n"/>
      <c r="C1" s="54" t="n"/>
      <c r="D1" s="54" t="n"/>
      <c r="E1" s="54" t="n"/>
    </row>
    <row r="2" ht="15" customHeight="1" s="53">
      <c r="B2" s="55" t="inlineStr">
        <is>
          <t>[ SMARTTEC.DEV · MEAD DATA CENTER · MODEL INPUTS ]</t>
        </is>
      </c>
    </row>
    <row r="3" ht="19.7" customHeight="1" s="53">
      <c r="B3" s="56" t="inlineStr">
        <is>
          <t>ASSUMPTIONS</t>
        </is>
      </c>
    </row>
    <row r="4" ht="15" customHeight="1" s="53">
      <c r="B4" s="66" t="inlineStr">
        <is>
          <t>Blue text on yellow = edit these levers. Everything downstream recalculates.</t>
        </is>
      </c>
    </row>
    <row r="6" ht="15" customHeight="1" s="53">
      <c r="B6" s="55" t="inlineStr">
        <is>
          <t>[ CAPACITY ]</t>
        </is>
      </c>
    </row>
    <row r="7" ht="15" customHeight="1" s="53">
      <c r="B7" s="67" t="inlineStr">
        <is>
          <t>Reserved GPUs (anchors)</t>
        </is>
      </c>
      <c r="C7" s="68" t="n">
        <v>30</v>
      </c>
      <c r="D7" s="69" t="inlineStr">
        <is>
          <t>6 anchors × 5 GPUs — 100% of capacity contracted</t>
        </is>
      </c>
    </row>
    <row r="8" ht="15" customHeight="1" s="53">
      <c r="B8" s="67" t="inlineStr">
        <is>
          <t>On-demand GPUs</t>
        </is>
      </c>
      <c r="C8" s="68" t="n">
        <v>0</v>
      </c>
      <c r="D8" s="69" t="inlineStr">
        <is>
          <t>Zero in base case — spares/overflow upside excluded</t>
        </is>
      </c>
    </row>
    <row r="9" ht="15" customHeight="1" s="53">
      <c r="B9" s="67" t="inlineStr">
        <is>
          <t>Hours per year</t>
        </is>
      </c>
      <c r="C9" s="70" t="n">
        <v>8760</v>
      </c>
      <c r="D9" s="69" t="inlineStr">
        <is>
          <t>24/7/365</t>
        </is>
      </c>
    </row>
    <row r="10" ht="15" customHeight="1" s="53">
      <c r="B10" s="67" t="inlineStr">
        <is>
          <t>On-demand utilization</t>
        </is>
      </c>
      <c r="C10" s="71" t="n">
        <v>0.65</v>
      </c>
      <c r="D10" s="69" t="inlineStr">
        <is>
          <t>Typical marketplace fill</t>
        </is>
      </c>
    </row>
    <row r="11" ht="15" customHeight="1" s="53">
      <c r="B11" s="55" t="inlineStr">
        <is>
          <t>[ RATES — YEAR 1 ]</t>
        </is>
      </c>
    </row>
    <row r="12" ht="15" customHeight="1" s="53">
      <c r="B12" s="67" t="inlineStr">
        <is>
          <t>Reserved rate ($/GPU-hr)</t>
        </is>
      </c>
      <c r="C12" s="72" t="n">
        <v>4.5</v>
      </c>
      <c r="D12" s="69" t="inlineStr">
        <is>
          <t>Modeled landing rate; ask $5.00. Market median $6.25 (indep. index, Jul 2026)</t>
        </is>
      </c>
    </row>
    <row r="13" ht="15" customHeight="1" s="53">
      <c r="B13" s="67" t="inlineStr">
        <is>
          <t>On-demand rate ($/GPU-hr)</t>
        </is>
      </c>
      <c r="C13" s="72" t="n">
        <v>4.8</v>
      </c>
      <c r="D13" s="69" t="inlineStr">
        <is>
          <t>SmartTec public list price, Jul 2026 (market median $6.25, indep. index) - model cannot assume above own list</t>
        </is>
      </c>
    </row>
    <row r="14" ht="15" customHeight="1" s="53">
      <c r="B14" s="67" t="inlineStr">
        <is>
          <t>Annual rate decay</t>
        </is>
      </c>
      <c r="C14" s="73" t="n">
        <v>0.1</v>
      </c>
      <c r="D14" s="69" t="inlineStr">
        <is>
          <t>Both streams decline as newer chips ship</t>
        </is>
      </c>
    </row>
    <row r="15" ht="15" customHeight="1" s="53">
      <c r="B15" s="55" t="inlineStr">
        <is>
          <t>[ CAPITAL &amp; TERMINAL ]</t>
        </is>
      </c>
    </row>
    <row r="16" ht="15" customHeight="1" s="53">
      <c r="B16" s="67" t="inlineStr">
        <is>
          <t>Total raise</t>
        </is>
      </c>
      <c r="C16" s="74" t="n">
        <v>2000000</v>
      </c>
      <c r="D16" s="69" t="inlineStr">
        <is>
          <t>CAPEX $1.99M + working capital</t>
        </is>
      </c>
    </row>
    <row r="17" ht="15" customHeight="1" s="53">
      <c r="B17" s="67" t="inlineStr">
        <is>
          <t>Residual hardware value @ Y5</t>
        </is>
      </c>
      <c r="C17" s="74" t="n">
        <v>450000</v>
      </c>
      <c r="D17" s="69" t="inlineStr">
        <is>
          <t>~26% of equipment cost</t>
        </is>
      </c>
    </row>
    <row r="18" ht="15" customHeight="1" s="53">
      <c r="B18" s="67" t="inlineStr">
        <is>
          <t>Anchor Q1 prepayment quarters</t>
        </is>
      </c>
      <c r="C18" s="68" t="n">
        <v>1</v>
      </c>
      <c r="D18" s="69" t="inlineStr">
        <is>
          <t>Quarters prepaid at signing</t>
        </is>
      </c>
    </row>
    <row r="19" ht="15" customHeight="1" s="53">
      <c r="B19" s="55" t="inlineStr">
        <is>
          <t>[ ANNUAL OPERATING COSTS ]</t>
        </is>
      </c>
    </row>
    <row r="20" ht="15" customHeight="1" s="53">
      <c r="B20" s="67" t="inlineStr">
        <is>
          <t>Power &amp; cooling</t>
        </is>
      </c>
      <c r="C20" s="74" t="n">
        <v>120000</v>
      </c>
      <c r="D20" s="69" t="inlineStr">
        <is>
          <t>~110 kW total load @ OK ~$0.08/kWh</t>
        </is>
      </c>
    </row>
    <row r="21" ht="15" customHeight="1" s="53">
      <c r="B21" s="67" t="inlineStr">
        <is>
          <t>Fiber — Dobson 100G symmetrical DIA</t>
        </is>
      </c>
      <c r="C21" s="74" t="n">
        <v>96900</v>
      </c>
      <c r="D21" s="69" t="inlineStr">
        <is>
          <t>Signed quote: $8,075/mo, 60-month term, install waived</t>
        </is>
      </c>
    </row>
    <row r="22" ht="15" customHeight="1" s="53">
      <c r="B22" s="67" t="inlineStr">
        <is>
          <t>Team — 2 HPC engineers</t>
        </is>
      </c>
      <c r="C22" s="74" t="n">
        <v>240000</v>
      </c>
      <c r="D22" s="69" t="inlineStr">
        <is>
          <t>$120K avg, Oklahoma market (audited)</t>
        </is>
      </c>
    </row>
    <row r="23" ht="15" customHeight="1" s="53">
      <c r="B23" s="67" t="inlineStr">
        <is>
          <t>Insurance, property tax, software</t>
        </is>
      </c>
      <c r="C23" s="74" t="n">
        <v>40000</v>
      </c>
      <c r="D23" s="69" t="inlineStr">
        <is>
          <t>Estimate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52" min="1" max="1"/>
    <col width="46" customWidth="1" style="52" min="2" max="2"/>
    <col width="16" customWidth="1" style="52" min="3" max="3"/>
    <col width="52" customWidth="1" style="52" min="4" max="4"/>
  </cols>
  <sheetData>
    <row r="1" ht="15" customHeight="1" s="53">
      <c r="A1" s="54" t="n"/>
      <c r="B1" s="54" t="n"/>
      <c r="C1" s="54" t="n"/>
      <c r="D1" s="54" t="n"/>
      <c r="E1" s="54" t="n"/>
    </row>
    <row r="2" ht="15" customHeight="1" s="53">
      <c r="B2" s="55" t="inlineStr">
        <is>
          <t>[ SMARTTEC.DEV · MEAD DATA CENTER ]</t>
        </is>
      </c>
    </row>
    <row r="3" ht="19.7" customHeight="1" s="53">
      <c r="B3" s="56" t="inlineStr">
        <is>
          <t>CAPEX — FULL BUILD (AUDITED)</t>
        </is>
      </c>
    </row>
    <row r="5" ht="15" customHeight="1" s="53">
      <c r="B5" s="75" t="inlineStr">
        <is>
          <t>Item</t>
        </is>
      </c>
      <c r="C5" s="76" t="inlineStr">
        <is>
          <t>Cost</t>
        </is>
      </c>
      <c r="D5" s="76" t="inlineStr">
        <is>
          <t>Note</t>
        </is>
      </c>
    </row>
    <row r="6" ht="15" customHeight="1" s="53">
      <c r="B6" s="77" t="inlineStr">
        <is>
          <t>4× HGX B200 servers, new (32 GPUs, 30 rentable)</t>
        </is>
      </c>
      <c r="C6" s="74" t="n">
        <v>1200000</v>
      </c>
      <c r="D6" s="69" t="inlineStr">
        <is>
          <t>$300K/system — July 2026 DGX benchmark $280–320K; new w/ warranty, not refurb</t>
        </is>
      </c>
    </row>
    <row r="7" ht="15" customHeight="1" s="53">
      <c r="B7" s="77" t="inlineStr">
        <is>
          <t>InfiniBand fabric — 1× QM9790 (or 400G RoCE)</t>
        </is>
      </c>
      <c r="C7" s="74" t="n">
        <v>90000</v>
      </c>
      <c r="D7" s="69" t="inlineStr">
        <is>
          <t>One switch covers 30 GPUs; 2nd deferred to Phase 2</t>
        </is>
      </c>
    </row>
    <row r="8" ht="15" customHeight="1" s="53">
      <c r="B8" s="77" t="inlineStr">
        <is>
          <t>300 TB NVMe storage, expandable</t>
        </is>
      </c>
      <c r="C8" s="74" t="n">
        <v>120000</v>
      </c>
      <c r="D8" s="69" t="inlineStr">
        <is>
          <t>Petabyte tier deferred until demanded</t>
        </is>
      </c>
    </row>
    <row r="9" ht="15" customHeight="1" s="53">
      <c r="B9" s="77" t="inlineStr">
        <is>
          <t>z1Power LFP batteries + UPS</t>
        </is>
      </c>
      <c r="C9" s="74" t="n">
        <v>80000</v>
      </c>
      <c r="D9" s="69" t="inlineStr">
        <is>
          <t>At cost via sponsor-owned z1Power (~$280K retail)</t>
        </is>
      </c>
    </row>
    <row r="10" ht="15" customHeight="1" s="53">
      <c r="B10" s="77" t="inlineStr">
        <is>
          <t>HVAC retrofit — Building 1</t>
        </is>
      </c>
      <c r="C10" s="74" t="n">
        <v>150000</v>
      </c>
      <c r="D10" s="69" t="inlineStr">
        <is>
          <t>~30 tons, hot/cold aisle containment</t>
        </is>
      </c>
    </row>
    <row r="11" ht="15" customHeight="1" s="53">
      <c r="B11" s="77" t="inlineStr">
        <is>
          <t>Racks, PDUs, cabling, optics</t>
        </is>
      </c>
      <c r="C11" s="74" t="n">
        <v>40000</v>
      </c>
      <c r="D11" s="69" t="inlineStr">
        <is>
          <t>Self-performed on owned site</t>
        </is>
      </c>
    </row>
    <row r="12" ht="15" customHeight="1" s="53">
      <c r="B12" s="77" t="inlineStr">
        <is>
          <t>Management switch, firewall</t>
        </is>
      </c>
      <c r="C12" s="74" t="n">
        <v>15000</v>
      </c>
      <c r="D12" s="69" t="inlineStr">
        <is>
          <t>OOB management + tenant isolation</t>
        </is>
      </c>
    </row>
    <row r="13" ht="15" customHeight="1" s="53">
      <c r="B13" s="77" t="inlineStr">
        <is>
          <t>Shipping</t>
        </is>
      </c>
      <c r="C13" s="74" t="n">
        <v>15000</v>
      </c>
      <c r="D13" s="69" t="inlineStr">
        <is>
          <t>Vendor estimate</t>
        </is>
      </c>
    </row>
    <row r="14" ht="15" customHeight="1" s="53">
      <c r="B14" s="77" t="inlineStr">
        <is>
          <t>Installation</t>
        </is>
      </c>
      <c r="C14" s="74" t="n">
        <v>10000</v>
      </c>
      <c r="D14" s="69" t="inlineStr">
        <is>
          <t>Self-performed + electrician</t>
        </is>
      </c>
    </row>
    <row r="15" ht="15" customHeight="1" s="53">
      <c r="B15" s="77" t="inlineStr">
        <is>
          <t>Legal, permitting</t>
        </is>
      </c>
      <c r="C15" s="74" t="n">
        <v>10000</v>
      </c>
      <c r="D15" s="69" t="inlineStr">
        <is>
          <t>Contracts, county permits</t>
        </is>
      </c>
    </row>
    <row r="16" ht="15" customHeight="1" s="53">
      <c r="B16" s="78" t="inlineStr">
        <is>
          <t>Subtotal</t>
        </is>
      </c>
      <c r="C16" s="79">
        <f>SUM(C6:C15)</f>
        <v/>
      </c>
    </row>
    <row r="17" ht="15" customHeight="1" s="53">
      <c r="B17" s="67" t="inlineStr">
        <is>
          <t>Contingency %</t>
        </is>
      </c>
      <c r="C17" s="73" t="n">
        <v>0.15</v>
      </c>
    </row>
    <row r="18" ht="15" customHeight="1" s="53">
      <c r="B18" s="67" t="inlineStr">
        <is>
          <t>Contingency $</t>
        </is>
      </c>
      <c r="C18" s="80">
        <f>ROUND(C16*C17,-4)</f>
        <v/>
      </c>
    </row>
    <row r="19" ht="15" customHeight="1" s="53">
      <c r="B19" s="81" t="inlineStr">
        <is>
          <t>TOTAL CAPEX</t>
        </is>
      </c>
      <c r="C19" s="82">
        <f>C16+C18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52" min="1" max="1"/>
    <col width="34" customWidth="1" style="52" min="2" max="2"/>
    <col width="14" customWidth="1" style="52" min="3" max="8"/>
  </cols>
  <sheetData>
    <row r="1" ht="15" customHeight="1" s="53">
      <c r="A1" s="54" t="n"/>
      <c r="B1" s="54" t="n"/>
      <c r="C1" s="54" t="n"/>
      <c r="D1" s="54" t="n"/>
      <c r="E1" s="54" t="n"/>
      <c r="F1" s="54" t="n"/>
      <c r="G1" s="54" t="n"/>
      <c r="H1" s="54" t="n"/>
    </row>
    <row r="2" ht="15" customHeight="1" s="53">
      <c r="B2" s="55" t="inlineStr">
        <is>
          <t>[ SMARTTEC.DEV · MEAD DATA CENTER · BASE CASE — RATES MODELED FALLING ]</t>
        </is>
      </c>
    </row>
    <row r="3" ht="19.7" customHeight="1" s="53">
      <c r="B3" s="56" t="inlineStr">
        <is>
          <t>FIVE-YEAR MODEL</t>
        </is>
      </c>
    </row>
    <row r="5" ht="15" customHeight="1" s="53">
      <c r="B5" s="75" t="n"/>
      <c r="C5" s="76" t="inlineStr">
        <is>
          <t>Year 0</t>
        </is>
      </c>
      <c r="D5" s="76" t="inlineStr">
        <is>
          <t>Year 1</t>
        </is>
      </c>
      <c r="E5" s="76" t="inlineStr">
        <is>
          <t>Year 2</t>
        </is>
      </c>
      <c r="F5" s="76" t="inlineStr">
        <is>
          <t>Year 3</t>
        </is>
      </c>
      <c r="G5" s="76" t="inlineStr">
        <is>
          <t>Year 4</t>
        </is>
      </c>
      <c r="H5" s="76" t="inlineStr">
        <is>
          <t>Year 5</t>
        </is>
      </c>
    </row>
    <row r="6" ht="15" customHeight="1" s="53">
      <c r="B6" s="67" t="inlineStr">
        <is>
          <t>Reserved rate ($/GPU-hr)</t>
        </is>
      </c>
      <c r="D6" s="83">
        <f>Assumptions!$C$12</f>
        <v/>
      </c>
      <c r="E6" s="83">
        <f>ROUND(D6*(1-Assumptions!$C$14),2)</f>
        <v/>
      </c>
      <c r="F6" s="83">
        <f>ROUND(E6*(1-Assumptions!$C$14),2)</f>
        <v/>
      </c>
      <c r="G6" s="83">
        <f>ROUND(F6*(1-Assumptions!$C$14),2)</f>
        <v/>
      </c>
      <c r="H6" s="83">
        <f>ROUND(G6*(1-Assumptions!$C$14),2)</f>
        <v/>
      </c>
    </row>
    <row r="7" ht="15" customHeight="1" s="53">
      <c r="B7" s="67" t="inlineStr">
        <is>
          <t>On-demand rate ($/GPU-hr)</t>
        </is>
      </c>
      <c r="D7" s="83">
        <f>Assumptions!$C$13</f>
        <v/>
      </c>
      <c r="E7" s="83">
        <f>ROUND(D7*(1-Assumptions!$C$14),2)</f>
        <v/>
      </c>
      <c r="F7" s="83">
        <f>ROUND(E7*(1-Assumptions!$C$14),2)</f>
        <v/>
      </c>
      <c r="G7" s="83">
        <f>ROUND(F7*(1-Assumptions!$C$14),2)</f>
        <v/>
      </c>
      <c r="H7" s="83">
        <f>ROUND(G7*(1-Assumptions!$C$14),2)</f>
        <v/>
      </c>
    </row>
    <row r="8" ht="15" customHeight="1" s="53">
      <c r="B8" s="67" t="inlineStr">
        <is>
          <t>Reserved revenue</t>
        </is>
      </c>
      <c r="D8" s="84">
        <f>Assumptions!$C$7*D6*Assumptions!$C$9</f>
        <v/>
      </c>
      <c r="E8" s="84">
        <f>Assumptions!$C$7*E6*Assumptions!$C$9</f>
        <v/>
      </c>
      <c r="F8" s="84">
        <f>Assumptions!$C$7*F6*Assumptions!$C$9</f>
        <v/>
      </c>
      <c r="G8" s="84">
        <f>Assumptions!$C$7*G6*Assumptions!$C$9</f>
        <v/>
      </c>
      <c r="H8" s="84">
        <f>Assumptions!$C$7*H6*Assumptions!$C$9</f>
        <v/>
      </c>
    </row>
    <row r="9" ht="15" customHeight="1" s="53">
      <c r="B9" s="67" t="inlineStr">
        <is>
          <t>On-demand revenue</t>
        </is>
      </c>
      <c r="D9" s="84">
        <f>Assumptions!$C$8*D7*Assumptions!$C$9*Assumptions!$C$10</f>
        <v/>
      </c>
      <c r="E9" s="84">
        <f>Assumptions!$C$8*E7*Assumptions!$C$9*Assumptions!$C$10</f>
        <v/>
      </c>
      <c r="F9" s="84">
        <f>Assumptions!$C$8*F7*Assumptions!$C$9*Assumptions!$C$10</f>
        <v/>
      </c>
      <c r="G9" s="84">
        <f>Assumptions!$C$8*G7*Assumptions!$C$9*Assumptions!$C$10</f>
        <v/>
      </c>
      <c r="H9" s="84">
        <f>Assumptions!$C$8*H7*Assumptions!$C$9*Assumptions!$C$10</f>
        <v/>
      </c>
    </row>
    <row r="10" ht="15" customHeight="1" s="53">
      <c r="B10" s="78" t="inlineStr">
        <is>
          <t>Gross revenue</t>
        </is>
      </c>
      <c r="D10" s="85">
        <f>D8+D9</f>
        <v/>
      </c>
      <c r="E10" s="85">
        <f>E8+E9</f>
        <v/>
      </c>
      <c r="F10" s="85">
        <f>F8+F9</f>
        <v/>
      </c>
      <c r="G10" s="85">
        <f>G8+G9</f>
        <v/>
      </c>
      <c r="H10" s="85">
        <f>H8+H9</f>
        <v/>
      </c>
    </row>
    <row r="11" ht="15" customHeight="1" s="53">
      <c r="B11" s="67" t="inlineStr">
        <is>
          <t>Operating costs</t>
        </is>
      </c>
      <c r="D11" s="84">
        <f>Assumptions!$C$20+Assumptions!$C$21+Assumptions!$C$22+Assumptions!$C$23</f>
        <v/>
      </c>
      <c r="E11" s="84">
        <f>Assumptions!$C$20+Assumptions!$C$21+Assumptions!$C$22+Assumptions!$C$23</f>
        <v/>
      </c>
      <c r="F11" s="84">
        <f>Assumptions!$C$20+Assumptions!$C$21+Assumptions!$C$22+Assumptions!$C$23</f>
        <v/>
      </c>
      <c r="G11" s="84">
        <f>Assumptions!$C$20+Assumptions!$C$21+Assumptions!$C$22+Assumptions!$C$23</f>
        <v/>
      </c>
      <c r="H11" s="84">
        <f>Assumptions!$C$20+Assumptions!$C$21+Assumptions!$C$22+Assumptions!$C$23</f>
        <v/>
      </c>
    </row>
    <row r="12" ht="15" customHeight="1" s="53">
      <c r="B12" s="78" t="inlineStr">
        <is>
          <t>Net operating cash flow</t>
        </is>
      </c>
      <c r="D12" s="85">
        <f>D10-D11</f>
        <v/>
      </c>
      <c r="E12" s="85">
        <f>E10-E11</f>
        <v/>
      </c>
      <c r="F12" s="85">
        <f>F10-F11</f>
        <v/>
      </c>
      <c r="G12" s="85">
        <f>G10-G11</f>
        <v/>
      </c>
      <c r="H12" s="85">
        <f>H10-H11</f>
        <v/>
      </c>
    </row>
    <row r="13" ht="15" customHeight="1" s="53">
      <c r="B13" s="67" t="inlineStr">
        <is>
          <t>Cumulative cash</t>
        </is>
      </c>
      <c r="D13" s="84">
        <f>D12</f>
        <v/>
      </c>
      <c r="E13" s="84">
        <f>D13+E12</f>
        <v/>
      </c>
      <c r="F13" s="84">
        <f>E13+F12</f>
        <v/>
      </c>
      <c r="G13" s="84">
        <f>F13+G12</f>
        <v/>
      </c>
      <c r="H13" s="84">
        <f>G13+H12</f>
        <v/>
      </c>
    </row>
    <row r="14" ht="15" customHeight="1" s="53">
      <c r="B14" s="67" t="inlineStr">
        <is>
          <t>Investor cash flow</t>
        </is>
      </c>
      <c r="C14" s="86">
        <f>-Assumptions!$C$16</f>
        <v/>
      </c>
      <c r="D14" s="84">
        <f>D12</f>
        <v/>
      </c>
      <c r="E14" s="84">
        <f>E12</f>
        <v/>
      </c>
      <c r="F14" s="84">
        <f>F12</f>
        <v/>
      </c>
      <c r="G14" s="84">
        <f>G12</f>
        <v/>
      </c>
      <c r="H14" s="84">
        <f>H12+Assumptions!$C$17</f>
        <v/>
      </c>
    </row>
    <row r="16" ht="15" customHeight="1" s="53">
      <c r="B16" s="55" t="inlineStr">
        <is>
          <t>[ RETURN METRICS — LINKED LIVE ]</t>
        </is>
      </c>
    </row>
    <row r="17" ht="15" customHeight="1" s="53">
      <c r="B17" s="67" t="inlineStr">
        <is>
          <t>Payback (flat Y1 rate, vs CAPEX)</t>
        </is>
      </c>
      <c r="C17" s="87">
        <f>CAPEX!$C$19/D12</f>
        <v/>
      </c>
    </row>
    <row r="18" ht="15" customHeight="1" s="53">
      <c r="B18" s="67" t="inlineStr">
        <is>
          <t>Payback (decaying rates, vs CAPEX)</t>
        </is>
      </c>
      <c r="C18" s="87">
        <f>IF(H13&lt;CAPEX!$C$19,99,IF(CAPEX!$C$19&lt;=D13,CAPEX!$C$19/D12,MATCH(CAPEX!$C$19,D13:H13,1)+(CAPEX!$C$19-INDEX(D13:H13,MATCH(CAPEX!$C$19,D13:H13,1)))/INDEX(D12:H12,MATCH(CAPEX!$C$19,D13:H13,1)+1)))</f>
        <v/>
      </c>
      <c r="D18" s="65" t="inlineStr">
        <is>
          <t>99 = beyond 5-yr window</t>
        </is>
      </c>
    </row>
    <row r="19" ht="15" customHeight="1" s="53">
      <c r="B19" s="67" t="inlineStr">
        <is>
          <t>Anchor Q1 prepayment (cash in at signing)</t>
        </is>
      </c>
      <c r="C19" s="88">
        <f>Assumptions!$C$7*Assumptions!$C$12*Assumptions!$C$9/4*Assumptions!$C$18</f>
        <v/>
      </c>
    </row>
    <row r="20" ht="15" customHeight="1" s="53">
      <c r="B20" s="67" t="inlineStr">
        <is>
          <t>Cash payback (flat, net of prepay)</t>
        </is>
      </c>
      <c r="C20" s="87">
        <f>(CAPEX!$C$19-C19)/D12</f>
        <v/>
      </c>
    </row>
    <row r="21" ht="15" customHeight="1" s="53">
      <c r="B21" s="67" t="inlineStr">
        <is>
          <t>5-yr cumulative cash + residual</t>
        </is>
      </c>
      <c r="C21" s="88">
        <f>H13+Assumptions!$C$17</f>
        <v/>
      </c>
    </row>
    <row r="22" ht="15" customHeight="1" s="53">
      <c r="B22" s="67" t="inlineStr">
        <is>
          <t>MOIC (on raise)</t>
        </is>
      </c>
      <c r="C22" s="89">
        <f>C21/Assumptions!$C$16</f>
        <v/>
      </c>
    </row>
    <row r="23" ht="15" customHeight="1" s="53">
      <c r="B23" s="67" t="inlineStr">
        <is>
          <t>Project IRR (5-yr, incl. residual)</t>
        </is>
      </c>
      <c r="C23" s="90">
        <f>IRR(C14:H14)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52" min="1" max="1"/>
    <col width="26" customWidth="1" style="52" min="2" max="2"/>
    <col width="16" customWidth="1" style="52" min="3" max="4"/>
    <col width="18" customWidth="1" style="52" min="5" max="6"/>
  </cols>
  <sheetData>
    <row r="1" ht="15" customHeight="1" s="53">
      <c r="A1" s="54" t="n"/>
      <c r="B1" s="54" t="n"/>
      <c r="C1" s="54" t="n"/>
      <c r="D1" s="54" t="n"/>
      <c r="E1" s="54" t="n"/>
      <c r="F1" s="54" t="n"/>
    </row>
    <row r="2" ht="15" customHeight="1" s="53">
      <c r="B2" s="55" t="inlineStr">
        <is>
          <t>[ SMARTTEC.DEV · WHERE THE ANCHOR RATE LANDS ]</t>
        </is>
      </c>
    </row>
    <row r="3" ht="19.7" customHeight="1" s="53">
      <c r="B3" s="56" t="inlineStr">
        <is>
          <t>RATE SENSITIVITY</t>
        </is>
      </c>
    </row>
    <row r="5" ht="15" customHeight="1" s="53">
      <c r="B5" s="75" t="inlineStr">
        <is>
          <t>Reserved rate</t>
        </is>
      </c>
      <c r="C5" s="76" t="inlineStr">
        <is>
          <t>Y1 net profit</t>
        </is>
      </c>
      <c r="D5" s="76" t="inlineStr">
        <is>
          <t>Flat payback</t>
        </is>
      </c>
      <c r="E5" s="76" t="inlineStr">
        <is>
          <t>Cash payback (prepay)</t>
        </is>
      </c>
      <c r="F5" s="76" t="inlineStr">
        <is>
          <t>Anchor rev ÷ costs</t>
        </is>
      </c>
    </row>
    <row r="6" ht="15" customHeight="1" s="53">
      <c r="B6" s="91" t="n">
        <v>4</v>
      </c>
      <c r="C6" s="84">
        <f>Assumptions!$C$7*B6*Assumptions!$C$9+Assumptions!$C$8*Assumptions!$C$13*Assumptions!$C$9*Assumptions!$C$10-(Assumptions!$C$20+Assumptions!$C$21+Assumptions!$C$22+Assumptions!$C$23)</f>
        <v/>
      </c>
      <c r="D6" s="92">
        <f>CAPEX!$C$19/C6</f>
        <v/>
      </c>
      <c r="E6" s="92">
        <f>(CAPEX!$C$19-Assumptions!$C$7*B6*Assumptions!$C$9/4*Assumptions!$C$18)/C6</f>
        <v/>
      </c>
      <c r="F6" s="93">
        <f>(Assumptions!$C$7*B6*Assumptions!$C$9)/(Assumptions!$C$20+Assumptions!$C$21+Assumptions!$C$22+Assumptions!$C$23)</f>
        <v/>
      </c>
    </row>
    <row r="7" ht="15" customHeight="1" s="53">
      <c r="B7" s="91" t="n">
        <v>4.25</v>
      </c>
      <c r="C7" s="84">
        <f>Assumptions!$C$7*B7*Assumptions!$C$9+Assumptions!$C$8*Assumptions!$C$13*Assumptions!$C$9*Assumptions!$C$10-(Assumptions!$C$20+Assumptions!$C$21+Assumptions!$C$22+Assumptions!$C$23)</f>
        <v/>
      </c>
      <c r="D7" s="92">
        <f>CAPEX!$C$19/C7</f>
        <v/>
      </c>
      <c r="E7" s="92">
        <f>(CAPEX!$C$19-Assumptions!$C$7*B7*Assumptions!$C$9/4*Assumptions!$C$18)/C7</f>
        <v/>
      </c>
      <c r="F7" s="93">
        <f>(Assumptions!$C$7*B7*Assumptions!$C$9)/(Assumptions!$C$20+Assumptions!$C$21+Assumptions!$C$22+Assumptions!$C$23)</f>
        <v/>
      </c>
    </row>
    <row r="8" ht="15" customHeight="1" s="53">
      <c r="B8" s="94" t="n">
        <v>4.5</v>
      </c>
      <c r="C8" s="95">
        <f>Assumptions!$C$7*B8*Assumptions!$C$9+Assumptions!$C$8*Assumptions!$C$13*Assumptions!$C$9*Assumptions!$C$10-(Assumptions!$C$20+Assumptions!$C$21+Assumptions!$C$22+Assumptions!$C$23)</f>
        <v/>
      </c>
      <c r="D8" s="96">
        <f>CAPEX!$C$19/C8</f>
        <v/>
      </c>
      <c r="E8" s="96">
        <f>(CAPEX!$C$19-Assumptions!$C$7*B8*Assumptions!$C$9/4*Assumptions!$C$18)/C8</f>
        <v/>
      </c>
      <c r="F8" s="97">
        <f>(Assumptions!$C$7*B8*Assumptions!$C$9)/(Assumptions!$C$20+Assumptions!$C$21+Assumptions!$C$22+Assumptions!$C$23)</f>
        <v/>
      </c>
    </row>
    <row r="9" ht="15" customHeight="1" s="53">
      <c r="B9" s="91" t="n">
        <v>4.75</v>
      </c>
      <c r="C9" s="84">
        <f>Assumptions!$C$7*B9*Assumptions!$C$9+Assumptions!$C$8*Assumptions!$C$13*Assumptions!$C$9*Assumptions!$C$10-(Assumptions!$C$20+Assumptions!$C$21+Assumptions!$C$22+Assumptions!$C$23)</f>
        <v/>
      </c>
      <c r="D9" s="92">
        <f>CAPEX!$C$19/C9</f>
        <v/>
      </c>
      <c r="E9" s="92">
        <f>(CAPEX!$C$19-Assumptions!$C$7*B9*Assumptions!$C$9/4*Assumptions!$C$18)/C9</f>
        <v/>
      </c>
      <c r="F9" s="93">
        <f>(Assumptions!$C$7*B9*Assumptions!$C$9)/(Assumptions!$C$20+Assumptions!$C$21+Assumptions!$C$22+Assumptions!$C$23)</f>
        <v/>
      </c>
    </row>
    <row r="10" ht="15" customHeight="1" s="53">
      <c r="B10" s="91" t="n">
        <v>5</v>
      </c>
      <c r="C10" s="84">
        <f>Assumptions!$C$7*B10*Assumptions!$C$9+Assumptions!$C$8*Assumptions!$C$13*Assumptions!$C$9*Assumptions!$C$10-(Assumptions!$C$20+Assumptions!$C$21+Assumptions!$C$22+Assumptions!$C$23)</f>
        <v/>
      </c>
      <c r="D10" s="92">
        <f>CAPEX!$C$19/C10</f>
        <v/>
      </c>
      <c r="E10" s="92">
        <f>(CAPEX!$C$19-Assumptions!$C$7*B10*Assumptions!$C$9/4*Assumptions!$C$18)/C10</f>
        <v/>
      </c>
      <c r="F10" s="93">
        <f>(Assumptions!$C$7*B10*Assumptions!$C$9)/(Assumptions!$C$20+Assumptions!$C$21+Assumptions!$C$22+Assumptions!$C$23)</f>
        <v/>
      </c>
    </row>
    <row r="12" ht="15" customHeight="1" s="53">
      <c r="B12" s="98" t="inlineStr">
        <is>
          <t>All 30 GPUs contracted in every row. Marketplace overflow between contracts = additional upside, excluded here.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52" min="1" max="1"/>
    <col width="20" customWidth="1" style="52" min="2" max="2"/>
    <col width="15" customWidth="1" style="52" min="3" max="3"/>
    <col width="13" customWidth="1" style="52" min="4" max="4"/>
    <col width="17" customWidth="1" style="52" min="5" max="5"/>
    <col width="19" customWidth="1" style="52" min="6" max="6"/>
    <col width="11" customWidth="1" style="52" min="7" max="8"/>
  </cols>
  <sheetData>
    <row r="1" ht="15" customHeight="1" s="53">
      <c r="A1" s="54" t="n"/>
      <c r="B1" s="54" t="n"/>
      <c r="C1" s="54" t="n"/>
      <c r="D1" s="54" t="n"/>
      <c r="E1" s="54" t="n"/>
      <c r="F1" s="54" t="n"/>
      <c r="G1" s="54" t="n"/>
      <c r="H1" s="54" t="n"/>
    </row>
    <row r="2" ht="15" customHeight="1" s="53">
      <c r="B2" s="55" t="inlineStr">
        <is>
          <t>[ SMARTTEC.DEV · ILLUSTRATIVE PRO-RATA ECONOMICS — TERMS SET WITH COUNSEL ]</t>
        </is>
      </c>
    </row>
    <row r="3" ht="19.7" customHeight="1" s="53">
      <c r="B3" s="56" t="inlineStr">
        <is>
          <t>INVESTMENT TIERS</t>
        </is>
      </c>
    </row>
    <row r="5" ht="15" customHeight="1" s="53">
      <c r="B5" s="75" t="inlineStr">
        <is>
          <t>Tier</t>
        </is>
      </c>
      <c r="C5" s="76" t="inlineStr">
        <is>
          <t>Investment</t>
        </is>
      </c>
      <c r="D5" s="76" t="inlineStr">
        <is>
          <t>Share</t>
        </is>
      </c>
      <c r="E5" s="76" t="inlineStr">
        <is>
          <t>Y1 distribution</t>
        </is>
      </c>
      <c r="F5" s="76" t="inlineStr">
        <is>
          <t>5-yr dist + residual</t>
        </is>
      </c>
      <c r="G5" s="76" t="inlineStr">
        <is>
          <t>MOIC</t>
        </is>
      </c>
      <c r="H5" s="76" t="inlineStr">
        <is>
          <t>IRR</t>
        </is>
      </c>
    </row>
    <row r="6" ht="15" customHeight="1" s="53">
      <c r="B6" s="99" t="inlineStr">
        <is>
          <t>Pod Partner</t>
        </is>
      </c>
      <c r="C6" s="74" t="n">
        <v>250000</v>
      </c>
      <c r="D6" s="100">
        <f>C6/Assumptions!$C$16</f>
        <v/>
      </c>
      <c r="E6" s="84">
        <f>D6*'5-Year Model'!$D$12</f>
        <v/>
      </c>
      <c r="F6" s="84">
        <f>D6*('5-Year Model'!$H$13+Assumptions!$C$17)</f>
        <v/>
      </c>
      <c r="G6" s="93">
        <f>F6/C6</f>
        <v/>
      </c>
      <c r="H6" s="101">
        <f>'5-Year Model'!$C$23</f>
        <v/>
      </c>
    </row>
    <row r="7" ht="15" customHeight="1" s="53">
      <c r="B7" s="99" t="inlineStr">
        <is>
          <t>Rack Partner</t>
        </is>
      </c>
      <c r="C7" s="74" t="n">
        <v>500000</v>
      </c>
      <c r="D7" s="100">
        <f>C7/Assumptions!$C$16</f>
        <v/>
      </c>
      <c r="E7" s="84">
        <f>D7*'5-Year Model'!$D$12</f>
        <v/>
      </c>
      <c r="F7" s="84">
        <f>D7*('5-Year Model'!$H$13+Assumptions!$C$17)</f>
        <v/>
      </c>
      <c r="G7" s="93">
        <f>F7/C7</f>
        <v/>
      </c>
      <c r="H7" s="101">
        <f>'5-Year Model'!$C$23</f>
        <v/>
      </c>
    </row>
    <row r="8" ht="15" customHeight="1" s="53">
      <c r="B8" s="99" t="inlineStr">
        <is>
          <t>Core Partner</t>
        </is>
      </c>
      <c r="C8" s="74" t="n">
        <v>1000000</v>
      </c>
      <c r="D8" s="100">
        <f>C8/Assumptions!$C$16</f>
        <v/>
      </c>
      <c r="E8" s="84">
        <f>D8*'5-Year Model'!$D$12</f>
        <v/>
      </c>
      <c r="F8" s="84">
        <f>D8*('5-Year Model'!$H$13+Assumptions!$C$17)</f>
        <v/>
      </c>
      <c r="G8" s="93">
        <f>F8/C8</f>
        <v/>
      </c>
      <c r="H8" s="101">
        <f>'5-Year Model'!$C$23</f>
        <v/>
      </c>
    </row>
    <row r="9" ht="15" customHeight="1" s="53">
      <c r="B9" s="99" t="inlineStr">
        <is>
          <t>Site Partner</t>
        </is>
      </c>
      <c r="C9" s="74" t="n">
        <v>2000000</v>
      </c>
      <c r="D9" s="100">
        <f>C9/Assumptions!$C$16</f>
        <v/>
      </c>
      <c r="E9" s="84">
        <f>D9*'5-Year Model'!$D$12</f>
        <v/>
      </c>
      <c r="F9" s="84">
        <f>D9*('5-Year Model'!$H$13+Assumptions!$C$17)</f>
        <v/>
      </c>
      <c r="G9" s="93">
        <f>F9/C9</f>
        <v/>
      </c>
      <c r="H9" s="101">
        <f>'5-Year Model'!$C$23</f>
        <v/>
      </c>
    </row>
    <row r="11" ht="15" customHeight="1" s="53">
      <c r="B11" s="66" t="inlineStr">
        <is>
          <t>IRR is identical across tiers (pro-rata scaling). Perks escalate: Pod = quarterly reporting · Rack = priority GPU allocation · Core = advisory seat + Phase-2 ROFR · Site = board seat + co-branding + full-site ROFR.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52" min="1" max="1"/>
    <col width="36" customWidth="1" style="52" min="2" max="2"/>
    <col width="16" customWidth="1" style="52" min="3" max="3"/>
    <col width="14" customWidth="1" style="52" min="4" max="8"/>
  </cols>
  <sheetData>
    <row r="1" ht="15" customHeight="1" s="53">
      <c r="A1" s="54" t="n"/>
      <c r="B1" s="54" t="n"/>
      <c r="C1" s="54" t="n"/>
      <c r="D1" s="54" t="n"/>
      <c r="E1" s="54" t="n"/>
      <c r="F1" s="54" t="n"/>
      <c r="G1" s="54" t="n"/>
      <c r="H1" s="54" t="n"/>
    </row>
    <row r="2" ht="15" customHeight="1" s="53">
      <c r="B2" s="55" t="inlineStr">
        <is>
          <t>[ SMARTTEC.DEV · LEVERED STRUCTURE — SMALLER EQUITY CHECK, HIGHER EQUITY YIELD ]</t>
        </is>
      </c>
    </row>
    <row r="3" ht="19.7" customHeight="1" s="53">
      <c r="B3" s="56" t="inlineStr">
        <is>
          <t>DEBT + EQUITY OPTION</t>
        </is>
      </c>
    </row>
    <row r="5" ht="15" customHeight="1" s="53">
      <c r="B5" s="67" t="inlineStr">
        <is>
          <t>Senior equipment loan</t>
        </is>
      </c>
      <c r="C5" s="102" t="n">
        <v>1000000</v>
      </c>
    </row>
    <row r="6" ht="15" customHeight="1" s="53">
      <c r="B6" s="67" t="inlineStr">
        <is>
          <t>Interest rate</t>
        </is>
      </c>
      <c r="C6" s="73" t="n">
        <v>0.11</v>
      </c>
    </row>
    <row r="7" ht="15" customHeight="1" s="53">
      <c r="B7" s="67" t="inlineStr">
        <is>
          <t>Term (years)</t>
        </is>
      </c>
      <c r="C7" s="103" t="n">
        <v>5</v>
      </c>
    </row>
    <row r="8" ht="15" customHeight="1" s="53">
      <c r="B8" s="67" t="inlineStr">
        <is>
          <t>Equity check (raise − debt)</t>
        </is>
      </c>
      <c r="C8" s="85">
        <f>Assumptions!$C$16-'Debt Option'!$C$5</f>
        <v/>
      </c>
    </row>
    <row r="9" ht="15" customHeight="1" s="53">
      <c r="B9" s="67" t="inlineStr">
        <is>
          <t>Annual debt service</t>
        </is>
      </c>
      <c r="C9" s="85">
        <f>-PMT('Debt Option'!$C$6,'Debt Option'!$C$7,'Debt Option'!$C$5)</f>
        <v/>
      </c>
    </row>
    <row r="10" ht="15" customHeight="1" s="53">
      <c r="B10" s="67" t="inlineStr">
        <is>
          <t>Y1 DSCR (profit ÷ service)</t>
        </is>
      </c>
      <c r="C10" s="89">
        <f>'5-Year Model'!$D$12/'Debt Option'!$C$9</f>
        <v/>
      </c>
    </row>
    <row r="12" ht="15" customHeight="1" s="53">
      <c r="B12" s="75" t="inlineStr">
        <is>
          <t>Equity cash flows</t>
        </is>
      </c>
      <c r="C12" s="76" t="inlineStr">
        <is>
          <t>Year 0</t>
        </is>
      </c>
      <c r="D12" s="76" t="inlineStr">
        <is>
          <t>Year 1</t>
        </is>
      </c>
      <c r="E12" s="76" t="inlineStr">
        <is>
          <t>Year 2</t>
        </is>
      </c>
      <c r="F12" s="76" t="inlineStr">
        <is>
          <t>Year 3</t>
        </is>
      </c>
      <c r="G12" s="76" t="inlineStr">
        <is>
          <t>Year 4</t>
        </is>
      </c>
      <c r="H12" s="76" t="inlineStr">
        <is>
          <t>Year 5</t>
        </is>
      </c>
    </row>
    <row r="13" ht="15" customHeight="1" s="53">
      <c r="B13" s="67" t="inlineStr">
        <is>
          <t>Profit − debt service (+ residual Y5)</t>
        </is>
      </c>
      <c r="C13" s="86">
        <f>-'Debt Option'!$C$8</f>
        <v/>
      </c>
      <c r="D13" s="104">
        <f>'5-Year Model'!D12-'Debt Option'!$C$9</f>
        <v/>
      </c>
      <c r="E13" s="104">
        <f>'5-Year Model'!E12-'Debt Option'!$C$9</f>
        <v/>
      </c>
      <c r="F13" s="104">
        <f>'5-Year Model'!F12-'Debt Option'!$C$9</f>
        <v/>
      </c>
      <c r="G13" s="104">
        <f>'5-Year Model'!G12-'Debt Option'!$C$9</f>
        <v/>
      </c>
      <c r="H13" s="104">
        <f>'5-Year Model'!H12-'Debt Option'!$C$9+Assumptions!$C$17</f>
        <v/>
      </c>
    </row>
    <row r="15" ht="15" customHeight="1" s="53">
      <c r="B15" s="67" t="inlineStr">
        <is>
          <t>Y1 equity cash yield</t>
        </is>
      </c>
      <c r="C15" s="90">
        <f>D13/'Debt Option'!$C$8</f>
        <v/>
      </c>
    </row>
    <row r="16" ht="15" customHeight="1" s="53">
      <c r="B16" s="67" t="inlineStr">
        <is>
          <t>Equity MOIC (5-yr)</t>
        </is>
      </c>
      <c r="C16" s="89">
        <f>SUM(D13:H13)/'Debt Option'!$C$8</f>
        <v/>
      </c>
    </row>
    <row r="17" ht="15" customHeight="1" s="53">
      <c r="B17" s="67" t="inlineStr">
        <is>
          <t>Equity IRR</t>
        </is>
      </c>
      <c r="C17" s="90">
        <f>IRR(C13:H13)</f>
        <v/>
      </c>
    </row>
    <row r="19" ht="15" customHeight="1" s="53">
      <c r="B19" s="66" t="inlineStr">
        <is>
          <t>Debt secured by hardware; sponsor completion support. DSCR &gt;2x is comfortably bankable for equipment finance.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2026-07-19T14:23:51Z</dcterms:created>
  <dcterms:modified xmlns:dcterms="http://purl.org/dc/terms/" xmlns:xsi="http://www.w3.org/2001/XMLSchema-instance" xsi:type="dcterms:W3CDTF">2026-07-20T01:29:47Z</dcterms:modified>
  <cp:revision>0</cp:revision>
</cp:coreProperties>
</file>