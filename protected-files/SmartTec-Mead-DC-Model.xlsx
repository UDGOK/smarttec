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CAPEX" sheetId="3" state="visible" r:id="rId5"/>
    <sheet name="5-Year Model" sheetId="4" state="visible" r:id="rId6"/>
    <sheet name="Sensitivity" sheetId="5" state="visible" r:id="rId7"/>
    <sheet name="Investment Tiers" sheetId="6" state="visible" r:id="rId8"/>
    <sheet name="Debt Op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<sst xmlns="http://schemas.openxmlformats.org/spreadsheetml/2006/main" count="170" uniqueCount="157">
  <si>
    <t xml:space="preserve">[ SMARTTEC.DEV · MEAD DATA CENTER · LIVE MODEL — EDIT YELLOW CELLS ON ASSUMPTIONS ]</t>
  </si>
  <si>
    <t xml:space="preserve">INVESTOR DASHBOARD</t>
  </si>
  <si>
    <t xml:space="preserve">Phase 1A — 8× HGX B200 · 64 GPUs installed, 60 rentable · ~114 kW IT · Mead, Oklahoma</t>
  </si>
  <si>
    <t xml:space="preserve">Total CAPEX</t>
  </si>
  <si>
    <t xml:space="preserve">Equity required</t>
  </si>
  <si>
    <t xml:space="preserve">Y1 gross revenue</t>
  </si>
  <si>
    <t xml:space="preserve">Y1 net operating income</t>
  </si>
  <si>
    <t xml:space="preserve">Y1 operating margin</t>
  </si>
  <si>
    <t xml:space="preserve">Reserved rate (base)</t>
  </si>
  <si>
    <t xml:space="preserve">Flat payback</t>
  </si>
  <si>
    <t xml:space="preserve">Equity payback</t>
  </si>
  <si>
    <t xml:space="preserve">Y1 DSCR (7-yr term)</t>
  </si>
  <si>
    <t xml:space="preserve">Y1 DSCR (5-yr stress)</t>
  </si>
  <si>
    <t xml:space="preserve">Equity MOIC (5-yr)</t>
  </si>
  <si>
    <t xml:space="preserve">Equity IRR (5-yr)</t>
  </si>
  <si>
    <t xml:space="preserve">[ HOW TO USE ]</t>
  </si>
  <si>
    <t xml:space="preserve">1. Edit blue cells on Assumptions and CAPEX. Everything else recalculates.</t>
  </si>
  <si>
    <t xml:space="preserve">2. Debt Option holds the base-case capital structure — it is not optional in this edition.</t>
  </si>
  <si>
    <t xml:space="preserve">3. The reserved rate is a TARGET, not a contracted rate. No capacity is under signed contract.</t>
  </si>
  <si>
    <t xml:space="preserve">Prepared July 2026 · Blueprint V4 (audited 24 Jul 2026) · no debt term sheet signed · securities counsel review required before external circulation.</t>
  </si>
  <si>
    <t xml:space="preserve">[ SMARTTEC.DEV · MEAD DATA CENTER · MODEL INPUTS ]</t>
  </si>
  <si>
    <t xml:space="preserve">ASSUMPTIONS</t>
  </si>
  <si>
    <t xml:space="preserve">Blue text on grey = edit these levers. Everything else is a formula. Phase 1A per DC Blueprint V4 (audited 24 Jul 2026).</t>
  </si>
  <si>
    <t xml:space="preserve">[ CAPACITY ]</t>
  </si>
  <si>
    <t xml:space="preserve">Reserved GPUs</t>
  </si>
  <si>
    <t xml:space="preserve">Billed 24/7/365 regardless of utilisation. Target rate — NOT yet contracted.</t>
  </si>
  <si>
    <t xml:space="preserve">On-demand GPUs</t>
  </si>
  <si>
    <t xml:space="preserve">Balance of the 60 rentable GPUs, sold hourly.</t>
  </si>
  <si>
    <t xml:space="preserve">Hours per year</t>
  </si>
  <si>
    <t xml:space="preserve">24/7/365</t>
  </si>
  <si>
    <t xml:space="preserve">On-demand utilisation</t>
  </si>
  <si>
    <t xml:space="preserve">Blueprint V4 base case</t>
  </si>
  <si>
    <t xml:space="preserve">[ RATES — YEAR 1 ]</t>
  </si>
  <si>
    <t xml:space="preserve">Reserved rate ($/GPU-hr)</t>
  </si>
  <si>
    <t xml:space="preserve">Low end of the verified $4.50–$5.50 reserved band. A target, not a signature.</t>
  </si>
  <si>
    <t xml:space="preserve">On-demand rate ($/GPU-hr)</t>
  </si>
  <si>
    <t xml:space="preserve">At the Jul-2026 independent market median ($6.03 avg / $6.12–6.25 median).</t>
  </si>
  <si>
    <t xml:space="preserve">Annual revenue decay</t>
  </si>
  <si>
    <t xml:space="preserve">Whole revenue line declines 10%/yr as newer silicon ships.</t>
  </si>
  <si>
    <t xml:space="preserve">[ CAPITAL &amp; TERMINAL ]</t>
  </si>
  <si>
    <t xml:space="preserve">Linked live from the CAPEX tab.</t>
  </si>
  <si>
    <t xml:space="preserve">Residual hardware value @ Y5</t>
  </si>
  <si>
    <t xml:space="preserve">Deliberately zero. The previous edition assumed $450K.</t>
  </si>
  <si>
    <t xml:space="preserve">Debt share of CAPEX</t>
  </si>
  <si>
    <t xml:space="preserve">Senior equipment debt. Balance is equity.</t>
  </si>
  <si>
    <t xml:space="preserve">[ ANNUAL OPERATING COSTS ]</t>
  </si>
  <si>
    <t xml:space="preserve">Power &amp; cooling</t>
  </si>
  <si>
    <t xml:space="preserve">114.4 kW IT full-server draw @ OK ~$0.08/kWh</t>
  </si>
  <si>
    <t xml:space="preserve">Fiber — Dobson 100G symmetrical DIA</t>
  </si>
  <si>
    <t xml:space="preserve">Signed quote: $8,075/mo, 60-month term, install waived</t>
  </si>
  <si>
    <t xml:space="preserve">Team — 3 HPC engineers</t>
  </si>
  <si>
    <t xml:space="preserve">$120K avg, Oklahoma market. Raised from 2 when the build doubled.</t>
  </si>
  <si>
    <t xml:space="preserve">Insurance, property tax, software</t>
  </si>
  <si>
    <t xml:space="preserve">Estimate; includes key-man cover</t>
  </si>
  <si>
    <t xml:space="preserve">[ DEBT TERMS ]</t>
  </si>
  <si>
    <t xml:space="preserve">Interest rate</t>
  </si>
  <si>
    <t xml:space="preserve">Assumed. NO TERM SHEET SIGNED — confirm before relying on this.</t>
  </si>
  <si>
    <t xml:space="preserve">Term (years)</t>
  </si>
  <si>
    <t xml:space="preserve">GPU lenders commonly write 3–5 yr paper. See the 5-yr DSCR on Debt Option.</t>
  </si>
  <si>
    <t xml:space="preserve">[ SMARTTEC.DEV · MEAD DATA CENTER ]</t>
  </si>
  <si>
    <t xml:space="preserve">CAPEX — PHASE 1A BUILD (BLUEPRINT V4)</t>
  </si>
  <si>
    <t xml:space="preserve">Item</t>
  </si>
  <si>
    <t xml:space="preserve">Cost</t>
  </si>
  <si>
    <t xml:space="preserve">Note</t>
  </si>
  <si>
    <t xml:space="preserve">GPU servers — 8× HGX B200 8-GPU (64 GPUs, 60 rentable)</t>
  </si>
  <si>
    <t xml:space="preserve">$375K/system + $20K shipping &amp; install each. Formal quote is a Gate-0 item.</t>
  </si>
  <si>
    <t xml:space="preserve">InfiniBand fabric — 2× QM9790 NDR, optics, NIC spares</t>
  </si>
  <si>
    <t xml:space="preserve">Switch carried at $32,500 vs verified $28,443 reseller floor — conservative.</t>
  </si>
  <si>
    <t xml:space="preserve">300 TB NVMe all-flash storage</t>
  </si>
  <si>
    <t xml:space="preserve">Perishable: NAND +70–75% QoQ in Q2-26. Locks at order.</t>
  </si>
  <si>
    <t xml:space="preserve">Power — 2× Eaton 93PR 100kW UPS (N+1), transformer, PDUs, z1Power LFP</t>
  </si>
  <si>
    <t xml:space="preserve">UPS sized for an earlier smaller build — re-sizing against 114.4 kW is a Gate-0 item.</t>
  </si>
  <si>
    <t xml:space="preserve">Cooling + fire suppression — 3× 15-ton CRAC, containment</t>
  </si>
  <si>
    <t xml:space="preserve">45 tons installed; only 30T with one unit failed, below the 114.4 kW load. Open item.</t>
  </si>
  <si>
    <t xml:space="preserve">Racks, PDUs, structured cabling</t>
  </si>
  <si>
    <t xml:space="preserve">9× 48U racks, switched 3-phase PDUs</t>
  </si>
  <si>
    <t xml:space="preserve">Management network — switch, firewall, OOB</t>
  </si>
  <si>
    <t xml:space="preserve">Out-of-band management + tenant isolation</t>
  </si>
  <si>
    <t xml:space="preserve">Fiber cross-connect + termination</t>
  </si>
  <si>
    <t xml:space="preserve">Dobson entry</t>
  </si>
  <si>
    <t xml:space="preserve">Soft costs — permitting, legal, PM, AURA dashboard</t>
  </si>
  <si>
    <t xml:space="preserve">Includes $40K AURA monitoring build</t>
  </si>
  <si>
    <t xml:space="preserve">Subtotal</t>
  </si>
  <si>
    <t xml:space="preserve">Contingency %</t>
  </si>
  <si>
    <t xml:space="preserve">Contingency $</t>
  </si>
  <si>
    <t xml:space="preserve">TOTAL CAPEX</t>
  </si>
  <si>
    <t xml:space="preserve">Blueprint V4 total: $4,504,711</t>
  </si>
  <si>
    <t xml:space="preserve">[ SMARTTEC.DEV · MEAD DATA CENTER · BASE CASE — RATES MODELED FALLING ]</t>
  </si>
  <si>
    <t xml:space="preserve">FIVE-YEAR MODEL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</si>
  <si>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</si>
  <si>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</si>
  <si>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</si>
  <si>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</si>
  <si>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</si>
  <si>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</si>
  <si>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Reserved rate ($/GPU-hr) — display</t>
  </si>
  <si>
    <t xml:space="preserve">On-demand rate ($/GPU-hr) — display</t>
  </si>
  <si>
    <t xml:space="preserve">Reserved revenue</t>
  </si>
  <si>
    <t xml:space="preserve">On-demand revenue</t>
  </si>
  <si>
    <t xml:space="preserve">Gross revenue</t>
  </si>
  <si>
    <t xml:space="preserve">Operating costs</t>
  </si>
  <si>
    <t xml:space="preserve">Net operating income</t>
  </si>
  <si>
    <t xml:space="preserve">Cumulative cash</t>
  </si>
  <si>
    <t xml:space="preserve">Equity cash flow (levered)</t>
  </si>
  <si>
    <t xml:space="preserve">[ RETURN METRICS — LINKED LIVE ]</t>
  </si>
  <si>
    <t xml:space="preserve">Flat payback (Y1 NOI vs total CAPEX)</t>
  </si>
  <si>
    <t xml:space="preserve">All-capital basis, before leverage</t>
  </si>
  <si>
    <t xml:space="preserve">20% of CAPEX</t>
  </si>
  <si>
    <t xml:space="preserve">Senior debt</t>
  </si>
  <si>
    <t xml:space="preserve">80% LTV — no term sheet signed</t>
  </si>
  <si>
    <t xml:space="preserve">Levered free cash flow — Year 1</t>
  </si>
  <si>
    <t xml:space="preserve">NOI less annual debt service</t>
  </si>
  <si>
    <t xml:space="preserve">Equity payback (levered)</t>
  </si>
  <si>
    <t xml:space="preserve">Highly sensitive to the reserved rate</t>
  </si>
  <si>
    <t xml:space="preserve">Equity MOIC (5-yr, incl. residual)</t>
  </si>
  <si>
    <t xml:space="preserve">Residual assumed $0</t>
  </si>
  <si>
    <t xml:space="preserve">Levered. Distributions rank behind debt service.</t>
  </si>
  <si>
    <t xml:space="preserve">[ SMARTTEC.DEV · WHERE THE ANCHOR RATE LANDS ]</t>
  </si>
  <si>
    <t xml:space="preserve">RATE SENSITIVITY — RESERVED RATE</t>
  </si>
  <si>
    <t xml:space="preserve">Reserved rate</t>
  </si>
  <si>
    <t xml:space="preserve">Y1 NOI</t>
  </si>
  <si>
    <t xml:space="preserve">Y1 DSCR (7-yr)</t>
  </si>
  <si>
    <t xml:space="preserve">Revenue ÷ opex</t>
  </si>
  <si>
    <t xml:space="preserve">All 60 rentable GPUs sold in every row (48 reserved at the row rate + 12 on-demand at the market rate, 75% utilised). The reserved rate is the single most sensitive input in this model and none of it is contracted yet.</t>
  </si>
  <si>
    <t xml:space="preserve">[ SMARTTEC.DEV · ILLUSTRATIVE PRO-RATA EQUITY ECONOMICS ]</t>
  </si>
  <si>
    <t xml:space="preserve">INVESTMENT TIERS</t>
  </si>
  <si>
    <t xml:space="preserve">Tier</t>
  </si>
  <si>
    <t xml:space="preserve">Investment</t>
  </si>
  <si>
    <t xml:space="preserve">Share of equity</t>
  </si>
  <si>
    <t xml:space="preserve">Y1 levered dist.</t>
  </si>
  <si>
    <t xml:space="preserve">5-yr distributions</t>
  </si>
  <si>
    <t xml:space="preserve">MOIC</t>
  </si>
  <si>
    <t xml:space="preserve">IRR</t>
  </si>
  <si>
    <t xml:space="preserve">Pod Partner</t>
  </si>
  <si>
    <t xml:space="preserve">Rack Partner</t>
  </si>
  <si>
    <t xml:space="preserve">Core Partner</t>
  </si>
  <si>
    <t xml:space="preserve">Site Partner</t>
  </si>
  <si>
    <t xml:space="preserve">IRR is identical across tiers (pro-rata). Figures are levered — they assume the senior debt on the Debt Option tab and are struck after debt service. Equity distributions rank behind the lender in every period.</t>
  </si>
  <si>
    <t xml:space="preserve">[ SMARTTEC.DEV · SENIOR DEBT — THIS IS THE BASE CASE ]</t>
  </si>
  <si>
    <t xml:space="preserve">DEBT + EQUITY STRUCTURE</t>
  </si>
  <si>
    <t xml:space="preserve">Senior equipment loan</t>
  </si>
  <si>
    <t xml:space="preserve">80% of CAPEX</t>
  </si>
  <si>
    <t xml:space="preserve">Assumed — no term sheet signed</t>
  </si>
  <si>
    <t xml:space="preserve">Lenders commonly write 3–5 yr on GPU collateral</t>
  </si>
  <si>
    <t xml:space="preserve">Equity check</t>
  </si>
  <si>
    <t xml:space="preserve">Balance of CAPEX</t>
  </si>
  <si>
    <t xml:space="preserve">Annual debt service</t>
  </si>
  <si>
    <t xml:space="preserve">Monthly amortisation × 12 — matches Blueprint V4 ($57,071/mo)</t>
  </si>
  <si>
    <t xml:space="preserve">Y1 DSCR</t>
  </si>
  <si>
    <t xml:space="preserve">Covenant floors typically sit at 1.25×</t>
  </si>
  <si>
    <t xml:space="preserve">Y1 DSCR — if 5-yr paper</t>
  </si>
  <si>
    <t xml:space="preserve">Stress case. Materially tighter.</t>
  </si>
  <si>
    <t xml:space="preserve">Equity cash flows</t>
  </si>
  <si>
    <t xml:space="preserve">NOI − debt service (+ residual Y5)</t>
  </si>
  <si>
    <t xml:space="preserve">Y1 equity cash yield</t>
  </si>
  <si>
    <t xml:space="preserve">Equity IRR</t>
  </si>
  <si>
    <t xml:space="preserve">Debt secured by hardware; expect the lender to require a sponsor guarantee. Leverage is what produces the equity returns above — and it is why a shortfall in the reserved rate bites harder here than in an all-equity structure. Debt service is fixed; revenue is not.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</si>
</sst>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"/>
    <numFmt numFmtId="167" formatCode="\$#,##0.00"/>
    <numFmt numFmtId="168" formatCode="0.0&quot; yr&quot;"/>
    <numFmt numFmtId="169" formatCode="0.00\×"/>
    <numFmt numFmtId="170" formatCode="0"/>
    <numFmt numFmtId="171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AA96E"/>
      <name val="Consolas"/>
      <family val="0"/>
      <charset val="1"/>
    </font>
    <font>
      <b val="true"/>
      <sz val="16"/>
      <color rgb="FF3D3B4F"/>
      <name val="Arial Black"/>
      <family val="0"/>
      <charset val="1"/>
    </font>
    <font>
      <sz val="10"/>
      <color rgb="FF6D6C7E"/>
      <name val="Arial"/>
      <family val="0"/>
      <charset val="1"/>
    </font>
    <font>
      <sz val="10"/>
      <color rgb="FF3D3B4F"/>
      <name val="Arial"/>
      <family val="0"/>
      <charset val="1"/>
    </font>
    <font>
      <sz val="8.5"/>
      <color rgb="FF6D6C7E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3D3B4F"/>
      <name val="Arial"/>
      <family val="0"/>
      <charset val="1"/>
    </font>
    <font>
      <b val="true"/>
      <sz val="10"/>
      <color rgb="FF0AA96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8E99F"/>
        <bgColor rgb="FF00FFFF"/>
      </patternFill>
    </fill>
    <fill>
      <patternFill patternType="solid">
        <fgColor rgb="FFEEEEEE"/>
        <bgColor rgb="FFDFF7EC"/>
      </patternFill>
    </fill>
    <fill>
      <patternFill patternType="solid">
        <fgColor rgb="FFDFF7EC"/>
        <bgColor rgb="FFEEEEEE"/>
      </patternFill>
    </fill>
    <fill>
      <patternFill patternType="solid">
        <fgColor rgb="FF3D3B4F"/>
        <bgColor rgb="FF333399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/>
      <right/>
      <top style="medium">
        <color rgb="FF3D3B4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DFF7EC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8E99F"/>
      <rgbColor rgb="FF99CC00"/>
      <rgbColor rgb="FFFFCC00"/>
      <rgbColor rgb="FFFF9900"/>
      <rgbColor rgb="FFFF6600"/>
      <rgbColor rgb="FF6D6C7E"/>
      <rgbColor rgb="FF969696"/>
      <rgbColor rgb="FF003366"/>
      <rgbColor rgb="FF0AA96E"/>
      <rgbColor rgb="FF003300"/>
      <rgbColor rgb="FF333300"/>
      <rgbColor rgb="FF993300"/>
      <rgbColor rgb="FF993366"/>
      <rgbColor rgb="FF333399"/>
      <rgbColor rgb="FF3D3B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4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3" t="s">
        <v>0</v>
      </c>
    </row>
    <row r="5" customFormat="false" ht="19.5" hidden="false" customHeight="true" outlineLevel="0" collapsed="false">
      <c r="B5" s="4" t="s">
        <v>1</v>
      </c>
    </row>
    <row r="6" customFormat="false" ht="15" hidden="false" customHeight="true" outlineLevel="0" collapsed="false">
      <c r="B6" s="5" t="s">
        <v>2</v>
      </c>
    </row>
    <row r="8" customFormat="false" ht="15" hidden="false" customHeight="true" outlineLevel="0" collapsed="false">
      <c r="B8" s="6" t="s">
        <v>3</v>
      </c>
      <c r="C8" s="7" t="n">
        <f aca="false">CAPEX!$C$19</f>
        <v>4504711</v>
      </c>
      <c r="E8" s="6" t="s">
        <v>4</v>
      </c>
      <c r="F8" s="7" t="n">
        <f aca="false">'5-Year Model'!$C$18</f>
        <v>900942.2</v>
      </c>
    </row>
    <row r="9" customFormat="false" ht="15" hidden="false" customHeight="true" outlineLevel="0" collapsed="false">
      <c r="B9" s="6" t="s">
        <v>5</v>
      </c>
      <c r="C9" s="7" t="n">
        <f aca="false">'5-Year Model'!D10</f>
        <v>2384910</v>
      </c>
      <c r="E9" s="6" t="s">
        <v>6</v>
      </c>
      <c r="F9" s="7" t="n">
        <f aca="false">'5-Year Model'!$D$12</f>
        <v>1778010</v>
      </c>
    </row>
    <row r="10" customFormat="false" ht="15" hidden="false" customHeight="true" outlineLevel="0" collapsed="false">
      <c r="B10" s="6" t="s">
        <v>7</v>
      </c>
      <c r="C10" s="8" t="n">
        <f aca="false">'5-Year Model'!$D$12/'5-Year Model'!D10</f>
        <v>0.745524988364341</v>
      </c>
      <c r="E10" s="6" t="s">
        <v>8</v>
      </c>
      <c r="F10" s="9" t="n">
        <f aca="false">Assumptions!$C$12</f>
        <v>4.5</v>
      </c>
    </row>
    <row r="11" customFormat="false" ht="15" hidden="false" customHeight="true" outlineLevel="0" collapsed="false">
      <c r="B11" s="6" t="s">
        <v>9</v>
      </c>
      <c r="C11" s="10" t="n">
        <f aca="false">'5-Year Model'!C17</f>
        <v>2.53356899005067</v>
      </c>
      <c r="E11" s="6" t="s">
        <v>10</v>
      </c>
      <c r="F11" s="10" t="n">
        <f aca="false">'5-Year Model'!C21</f>
        <v>0.824164958465619</v>
      </c>
    </row>
    <row r="12" customFormat="false" ht="15" hidden="false" customHeight="true" outlineLevel="0" collapsed="false">
      <c r="B12" s="6" t="s">
        <v>11</v>
      </c>
      <c r="C12" s="11" t="n">
        <f aca="false">'Debt Option'!$C$10</f>
        <v>2.59619450526844</v>
      </c>
      <c r="E12" s="6" t="s">
        <v>12</v>
      </c>
      <c r="F12" s="11" t="n">
        <f aca="false">'Debt Option'!$C$11</f>
        <v>2.00397405483735</v>
      </c>
    </row>
    <row r="13" customFormat="false" ht="15" hidden="false" customHeight="true" outlineLevel="0" collapsed="false">
      <c r="B13" s="6" t="s">
        <v>13</v>
      </c>
      <c r="C13" s="11" t="n">
        <f aca="false">'5-Year Model'!C22</f>
        <v>3.67135984283862</v>
      </c>
      <c r="E13" s="6" t="s">
        <v>14</v>
      </c>
      <c r="F13" s="8" t="n">
        <f aca="false">'5-Year Model'!$C$23</f>
        <v>0.965502193409051</v>
      </c>
    </row>
    <row r="15" customFormat="false" ht="15" hidden="false" customHeight="true" outlineLevel="0" collapsed="false">
      <c r="B15" s="3" t="s">
        <v>15</v>
      </c>
    </row>
    <row r="16" customFormat="false" ht="15" hidden="false" customHeight="true" outlineLevel="0" collapsed="false">
      <c r="B16" s="12" t="s">
        <v>16</v>
      </c>
    </row>
    <row r="17" customFormat="false" ht="15" hidden="false" customHeight="true" outlineLevel="0" collapsed="false">
      <c r="B17" s="12" t="s">
        <v>17</v>
      </c>
    </row>
    <row r="18" customFormat="false" ht="15" hidden="false" customHeight="true" outlineLevel="0" collapsed="false">
      <c r="B18" s="12" t="s">
        <v>18</v>
      </c>
    </row>
    <row r="20" customFormat="false" ht="15" hidden="false" customHeight="true" outlineLevel="0" collapsed="false">
      <c r="B20" s="1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52"/>
  </cols>
  <sheetData>
    <row r="1" customFormat="false" ht="15" hidden="false" customHeight="true" outlineLevel="0" collapsed="false">
      <c r="A1" s="2"/>
      <c r="B1" s="2"/>
      <c r="C1" s="2"/>
      <c r="D1" s="2"/>
      <c r="E1" s="2"/>
    </row>
    <row r="2" customFormat="false" ht="15" hidden="false" customHeight="true" outlineLevel="0" collapsed="false">
      <c r="B2" s="3" t="s">
        <v>20</v>
      </c>
    </row>
    <row r="3" customFormat="false" ht="19.5" hidden="false" customHeight="true" outlineLevel="0" collapsed="false">
      <c r="B3" s="4" t="s">
        <v>21</v>
      </c>
    </row>
    <row r="4" customFormat="false" ht="15" hidden="false" customHeight="true" outlineLevel="0" collapsed="false">
      <c r="B4" s="12" t="s">
        <v>22</v>
      </c>
    </row>
    <row r="6" customFormat="false" ht="15" hidden="false" customHeight="true" outlineLevel="0" collapsed="false">
      <c r="B6" s="3" t="s">
        <v>23</v>
      </c>
    </row>
    <row r="7" customFormat="false" ht="15" hidden="false" customHeight="true" outlineLevel="0" collapsed="false">
      <c r="B7" s="13" t="s">
        <v>24</v>
      </c>
      <c r="C7" s="14" t="n">
        <v>48</v>
      </c>
      <c r="D7" s="12" t="s">
        <v>25</v>
      </c>
    </row>
    <row r="8" customFormat="false" ht="15" hidden="false" customHeight="true" outlineLevel="0" collapsed="false">
      <c r="B8" s="13" t="s">
        <v>26</v>
      </c>
      <c r="C8" s="14" t="n">
        <v>12</v>
      </c>
      <c r="D8" s="12" t="s">
        <v>27</v>
      </c>
    </row>
    <row r="9" customFormat="false" ht="15" hidden="false" customHeight="true" outlineLevel="0" collapsed="false">
      <c r="B9" s="13" t="s">
        <v>28</v>
      </c>
      <c r="C9" s="15" t="n">
        <v>8760</v>
      </c>
      <c r="D9" s="12" t="s">
        <v>29</v>
      </c>
    </row>
    <row r="10" customFormat="false" ht="15" hidden="false" customHeight="true" outlineLevel="0" collapsed="false">
      <c r="B10" s="13" t="s">
        <v>30</v>
      </c>
      <c r="C10" s="16" t="n">
        <v>0.75</v>
      </c>
      <c r="D10" s="12" t="s">
        <v>31</v>
      </c>
    </row>
    <row r="11" customFormat="false" ht="15" hidden="false" customHeight="true" outlineLevel="0" collapsed="false">
      <c r="B11" s="3" t="s">
        <v>32</v>
      </c>
    </row>
    <row r="12" customFormat="false" ht="15" hidden="false" customHeight="true" outlineLevel="0" collapsed="false">
      <c r="B12" s="13" t="s">
        <v>33</v>
      </c>
      <c r="C12" s="17" t="n">
        <v>4.5</v>
      </c>
      <c r="D12" s="12" t="s">
        <v>34</v>
      </c>
    </row>
    <row r="13" customFormat="false" ht="15" hidden="false" customHeight="true" outlineLevel="0" collapsed="false">
      <c r="B13" s="13" t="s">
        <v>35</v>
      </c>
      <c r="C13" s="17" t="n">
        <v>6.25</v>
      </c>
      <c r="D13" s="12" t="s">
        <v>36</v>
      </c>
    </row>
    <row r="14" customFormat="false" ht="15" hidden="false" customHeight="true" outlineLevel="0" collapsed="false">
      <c r="B14" s="13" t="s">
        <v>37</v>
      </c>
      <c r="C14" s="16" t="n">
        <v>0.1</v>
      </c>
      <c r="D14" s="12" t="s">
        <v>38</v>
      </c>
    </row>
    <row r="15" customFormat="false" ht="15" hidden="false" customHeight="true" outlineLevel="0" collapsed="false">
      <c r="B15" s="3" t="s">
        <v>39</v>
      </c>
    </row>
    <row r="16" customFormat="false" ht="15" hidden="false" customHeight="true" outlineLevel="0" collapsed="false">
      <c r="B16" s="13" t="s">
        <v>3</v>
      </c>
      <c r="C16" s="18" t="n">
        <f aca="false">CAPEX!$C$19</f>
        <v>4504711</v>
      </c>
      <c r="D16" s="12" t="s">
        <v>40</v>
      </c>
    </row>
    <row r="17" customFormat="false" ht="15" hidden="false" customHeight="true" outlineLevel="0" collapsed="false">
      <c r="B17" s="13" t="s">
        <v>41</v>
      </c>
      <c r="C17" s="14" t="n">
        <v>0</v>
      </c>
      <c r="D17" s="12" t="s">
        <v>42</v>
      </c>
    </row>
    <row r="18" customFormat="false" ht="15" hidden="false" customHeight="true" outlineLevel="0" collapsed="false">
      <c r="B18" s="13" t="s">
        <v>43</v>
      </c>
      <c r="C18" s="16" t="n">
        <v>0.8</v>
      </c>
      <c r="D18" s="12" t="s">
        <v>44</v>
      </c>
    </row>
    <row r="19" customFormat="false" ht="15" hidden="false" customHeight="true" outlineLevel="0" collapsed="false">
      <c r="B19" s="3" t="s">
        <v>45</v>
      </c>
    </row>
    <row r="20" customFormat="false" ht="15" hidden="false" customHeight="true" outlineLevel="0" collapsed="false">
      <c r="B20" s="13" t="s">
        <v>46</v>
      </c>
      <c r="C20" s="15" t="n">
        <v>110000</v>
      </c>
      <c r="D20" s="12" t="s">
        <v>47</v>
      </c>
    </row>
    <row r="21" customFormat="false" ht="15" hidden="false" customHeight="true" outlineLevel="0" collapsed="false">
      <c r="B21" s="13" t="s">
        <v>48</v>
      </c>
      <c r="C21" s="15" t="n">
        <v>96900</v>
      </c>
      <c r="D21" s="12" t="s">
        <v>49</v>
      </c>
    </row>
    <row r="22" customFormat="false" ht="15" hidden="false" customHeight="true" outlineLevel="0" collapsed="false">
      <c r="B22" s="13" t="s">
        <v>50</v>
      </c>
      <c r="C22" s="15" t="n">
        <v>360000</v>
      </c>
      <c r="D22" s="12" t="s">
        <v>51</v>
      </c>
    </row>
    <row r="23" customFormat="false" ht="15" hidden="false" customHeight="true" outlineLevel="0" collapsed="false">
      <c r="B23" s="13" t="s">
        <v>52</v>
      </c>
      <c r="C23" s="15" t="n">
        <v>40000</v>
      </c>
      <c r="D23" s="12" t="s">
        <v>53</v>
      </c>
    </row>
    <row r="24" customFormat="false" ht="15" hidden="false" customHeight="false" outlineLevel="0" collapsed="false">
      <c r="B24" s="19" t="s">
        <v>54</v>
      </c>
    </row>
    <row r="25" customFormat="false" ht="15" hidden="false" customHeight="false" outlineLevel="0" collapsed="false">
      <c r="B25" s="20" t="s">
        <v>55</v>
      </c>
      <c r="C25" s="21" t="n">
        <v>0.085</v>
      </c>
      <c r="D25" s="22" t="s">
        <v>56</v>
      </c>
    </row>
    <row r="26" customFormat="false" ht="15" hidden="false" customHeight="false" outlineLevel="0" collapsed="false">
      <c r="B26" s="20" t="s">
        <v>57</v>
      </c>
      <c r="C26" s="23" t="n">
        <v>7</v>
      </c>
      <c r="D26" s="2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16"/>
    <col collapsed="false" customWidth="true" hidden="false" outlineLevel="0" max="4" min="4" style="1" width="52"/>
  </cols>
  <sheetData>
    <row r="1" customFormat="false" ht="15" hidden="false" customHeight="true" outlineLevel="0" collapsed="false">
      <c r="A1" s="2"/>
      <c r="B1" s="2"/>
      <c r="C1" s="2"/>
      <c r="D1" s="2"/>
      <c r="E1" s="2"/>
    </row>
    <row r="2" customFormat="false" ht="15" hidden="false" customHeight="true" outlineLevel="0" collapsed="false">
      <c r="B2" s="3" t="s">
        <v>59</v>
      </c>
    </row>
    <row r="3" customFormat="false" ht="19.5" hidden="false" customHeight="true" outlineLevel="0" collapsed="false">
      <c r="B3" s="4" t="s">
        <v>60</v>
      </c>
    </row>
    <row r="5" customFormat="false" ht="15" hidden="false" customHeight="true" outlineLevel="0" collapsed="false">
      <c r="B5" s="24" t="s">
        <v>61</v>
      </c>
      <c r="C5" s="25" t="s">
        <v>62</v>
      </c>
      <c r="D5" s="25" t="s">
        <v>63</v>
      </c>
    </row>
    <row r="6" customFormat="false" ht="15" hidden="false" customHeight="true" outlineLevel="0" collapsed="false">
      <c r="B6" s="26" t="s">
        <v>64</v>
      </c>
      <c r="C6" s="15" t="n">
        <v>3160000</v>
      </c>
      <c r="D6" s="12" t="s">
        <v>65</v>
      </c>
    </row>
    <row r="7" customFormat="false" ht="15" hidden="false" customHeight="true" outlineLevel="0" collapsed="false">
      <c r="B7" s="26" t="s">
        <v>66</v>
      </c>
      <c r="C7" s="15" t="n">
        <v>156440</v>
      </c>
      <c r="D7" s="12" t="s">
        <v>67</v>
      </c>
    </row>
    <row r="8" customFormat="false" ht="15" hidden="false" customHeight="true" outlineLevel="0" collapsed="false">
      <c r="B8" s="26" t="s">
        <v>68</v>
      </c>
      <c r="C8" s="15" t="n">
        <v>120000</v>
      </c>
      <c r="D8" s="12" t="s">
        <v>69</v>
      </c>
    </row>
    <row r="9" customFormat="false" ht="15" hidden="false" customHeight="true" outlineLevel="0" collapsed="false">
      <c r="B9" s="26" t="s">
        <v>70</v>
      </c>
      <c r="C9" s="15" t="n">
        <v>227000</v>
      </c>
      <c r="D9" s="12" t="s">
        <v>71</v>
      </c>
    </row>
    <row r="10" customFormat="false" ht="15" hidden="false" customHeight="true" outlineLevel="0" collapsed="false">
      <c r="B10" s="26" t="s">
        <v>72</v>
      </c>
      <c r="C10" s="15" t="n">
        <v>121000</v>
      </c>
      <c r="D10" s="12" t="s">
        <v>73</v>
      </c>
    </row>
    <row r="11" customFormat="false" ht="15" hidden="false" customHeight="true" outlineLevel="0" collapsed="false">
      <c r="B11" s="26" t="s">
        <v>74</v>
      </c>
      <c r="C11" s="15" t="n">
        <v>36500</v>
      </c>
      <c r="D11" s="12" t="s">
        <v>75</v>
      </c>
    </row>
    <row r="12" customFormat="false" ht="15" hidden="false" customHeight="true" outlineLevel="0" collapsed="false">
      <c r="B12" s="26" t="s">
        <v>76</v>
      </c>
      <c r="C12" s="15" t="n">
        <v>7700</v>
      </c>
      <c r="D12" s="12" t="s">
        <v>77</v>
      </c>
    </row>
    <row r="13" customFormat="false" ht="15" hidden="false" customHeight="true" outlineLevel="0" collapsed="false">
      <c r="B13" s="26" t="s">
        <v>78</v>
      </c>
      <c r="C13" s="15" t="n">
        <v>5500</v>
      </c>
      <c r="D13" s="12" t="s">
        <v>79</v>
      </c>
    </row>
    <row r="14" customFormat="false" ht="15" hidden="false" customHeight="true" outlineLevel="0" collapsed="false">
      <c r="B14" s="26" t="s">
        <v>80</v>
      </c>
      <c r="C14" s="15" t="n">
        <v>83000</v>
      </c>
      <c r="D14" s="12" t="s">
        <v>81</v>
      </c>
    </row>
    <row r="15" customFormat="false" ht="15" hidden="false" customHeight="true" outlineLevel="0" collapsed="false">
      <c r="B15" s="26"/>
      <c r="C15" s="27"/>
      <c r="D15" s="12"/>
    </row>
    <row r="16" customFormat="false" ht="15" hidden="false" customHeight="true" outlineLevel="0" collapsed="false">
      <c r="B16" s="28" t="s">
        <v>82</v>
      </c>
      <c r="C16" s="29" t="n">
        <f aca="false">SUM(C6:C15)</f>
        <v>3917140</v>
      </c>
    </row>
    <row r="17" customFormat="false" ht="15" hidden="false" customHeight="true" outlineLevel="0" collapsed="false">
      <c r="B17" s="13" t="s">
        <v>83</v>
      </c>
      <c r="C17" s="16" t="n">
        <v>0.15</v>
      </c>
    </row>
    <row r="18" customFormat="false" ht="15" hidden="false" customHeight="true" outlineLevel="0" collapsed="false">
      <c r="B18" s="13" t="s">
        <v>84</v>
      </c>
      <c r="C18" s="30" t="n">
        <f aca="false">ROUND(C16*C17,0)</f>
        <v>587571</v>
      </c>
    </row>
    <row r="19" customFormat="false" ht="15" hidden="false" customHeight="true" outlineLevel="0" collapsed="false">
      <c r="B19" s="31" t="s">
        <v>85</v>
      </c>
      <c r="C19" s="32" t="n">
        <f aca="false">C16+C18</f>
        <v>4504711</v>
      </c>
      <c r="D19" s="22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8" min="3" style="1" width="14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B2" s="3" t="s">
        <v>87</v>
      </c>
    </row>
    <row r="3" customFormat="false" ht="19.5" hidden="false" customHeight="true" outlineLevel="0" collapsed="false">
      <c r="B3" s="4" t="s">
        <v>88</v>
      </c>
    </row>
    <row r="5" customFormat="false" ht="15" hidden="false" customHeight="true" outlineLevel="0" collapsed="false">
      <c r="B5" s="24"/>
      <c r="C5" s="25" t="s">
        <v>89</v>
      </c>
      <c r="D5" s="25" t="s">
        <v>90</v>
      </c>
      <c r="E5" s="25" t="s">
        <v>91</v>
      </c>
      <c r="F5" s="25" t="s">
        <v>92</v>
      </c>
      <c r="G5" s="25" t="s">
        <v>93</v>
      </c>
      <c r="H5" s="25" t="s">
        <v>94</v>
      </c>
    </row>
    <row r="6" customFormat="false" ht="15" hidden="false" customHeight="true" outlineLevel="0" collapsed="false">
      <c r="B6" s="13" t="s">
        <v>95</v>
      </c>
      <c r="D6" s="33" t="n">
        <f aca="false">Assumptions!$C$12</f>
        <v>4.5</v>
      </c>
      <c r="E6" s="33" t="n">
        <f aca="false">ROUND(D6*(1-Assumptions!$C$14),2)</f>
        <v>4.05</v>
      </c>
      <c r="F6" s="33" t="n">
        <f aca="false">ROUND(E6*(1-Assumptions!$C$14),2)</f>
        <v>3.65</v>
      </c>
      <c r="G6" s="33" t="n">
        <f aca="false">ROUND(F6*(1-Assumptions!$C$14),2)</f>
        <v>3.29</v>
      </c>
      <c r="H6" s="33" t="n">
        <f aca="false">ROUND(G6*(1-Assumptions!$C$14),2)</f>
        <v>2.96</v>
      </c>
    </row>
    <row r="7" customFormat="false" ht="15" hidden="false" customHeight="true" outlineLevel="0" collapsed="false">
      <c r="B7" s="13" t="s">
        <v>96</v>
      </c>
      <c r="D7" s="33" t="n">
        <f aca="false">Assumptions!$C$13</f>
        <v>6.25</v>
      </c>
      <c r="E7" s="33" t="n">
        <f aca="false">ROUND(D7*(1-Assumptions!$C$14),2)</f>
        <v>5.63</v>
      </c>
      <c r="F7" s="33" t="n">
        <f aca="false">ROUND(E7*(1-Assumptions!$C$14),2)</f>
        <v>5.07</v>
      </c>
      <c r="G7" s="33" t="n">
        <f aca="false">ROUND(F7*(1-Assumptions!$C$14),2)</f>
        <v>4.56</v>
      </c>
      <c r="H7" s="33" t="n">
        <f aca="false">ROUND(G7*(1-Assumptions!$C$14),2)</f>
        <v>4.1</v>
      </c>
    </row>
    <row r="8" customFormat="false" ht="15" hidden="false" customHeight="true" outlineLevel="0" collapsed="false">
      <c r="B8" s="13" t="s">
        <v>97</v>
      </c>
      <c r="D8" s="34" t="n">
        <f aca="false">Assumptions!$C$7*D6*Assumptions!$C$9</f>
        <v>1892160</v>
      </c>
      <c r="E8" s="34" t="n">
        <f aca="false">D8*(1-Assumptions!$C$14)</f>
        <v>1702944</v>
      </c>
      <c r="F8" s="34" t="n">
        <f aca="false">E8*(1-Assumptions!$C$14)</f>
        <v>1532649.6</v>
      </c>
      <c r="G8" s="34" t="n">
        <f aca="false">F8*(1-Assumptions!$C$14)</f>
        <v>1379384.64</v>
      </c>
      <c r="H8" s="34" t="n">
        <f aca="false">G8*(1-Assumptions!$C$14)</f>
        <v>1241446.176</v>
      </c>
    </row>
    <row r="9" customFormat="false" ht="15" hidden="false" customHeight="true" outlineLevel="0" collapsed="false">
      <c r="B9" s="13" t="s">
        <v>98</v>
      </c>
      <c r="D9" s="34" t="n">
        <f aca="false">Assumptions!$C$8*D7*Assumptions!$C$9*Assumptions!$C$10</f>
        <v>492750</v>
      </c>
      <c r="E9" s="34" t="n">
        <f aca="false">D9*(1-Assumptions!$C$14)</f>
        <v>443475</v>
      </c>
      <c r="F9" s="34" t="n">
        <f aca="false">E9*(1-Assumptions!$C$14)</f>
        <v>399127.5</v>
      </c>
      <c r="G9" s="34" t="n">
        <f aca="false">F9*(1-Assumptions!$C$14)</f>
        <v>359214.75</v>
      </c>
      <c r="H9" s="34" t="n">
        <f aca="false">G9*(1-Assumptions!$C$14)</f>
        <v>323293.275</v>
      </c>
    </row>
    <row r="10" customFormat="false" ht="15" hidden="false" customHeight="true" outlineLevel="0" collapsed="false">
      <c r="B10" s="28" t="s">
        <v>99</v>
      </c>
      <c r="D10" s="35" t="n">
        <f aca="false">D8+D9</f>
        <v>2384910</v>
      </c>
      <c r="E10" s="35" t="n">
        <f aca="false">E8+E9</f>
        <v>2146419</v>
      </c>
      <c r="F10" s="35" t="n">
        <f aca="false">F8+F9</f>
        <v>1931777.1</v>
      </c>
      <c r="G10" s="35" t="n">
        <f aca="false">G8+G9</f>
        <v>1738599.39</v>
      </c>
      <c r="H10" s="35" t="n">
        <f aca="false">H8+H9</f>
        <v>1564739.451</v>
      </c>
    </row>
    <row r="11" customFormat="false" ht="15" hidden="false" customHeight="true" outlineLevel="0" collapsed="false">
      <c r="B11" s="13" t="s">
        <v>100</v>
      </c>
      <c r="D11" s="34" t="n">
        <f aca="false">Assumptions!$C$20+Assumptions!$C$21+Assumptions!$C$22+Assumptions!$C$23</f>
        <v>606900</v>
      </c>
      <c r="E11" s="34" t="n">
        <f aca="false">Assumptions!$C$20+Assumptions!$C$21+Assumptions!$C$22+Assumptions!$C$23</f>
        <v>606900</v>
      </c>
      <c r="F11" s="34" t="n">
        <f aca="false">Assumptions!$C$20+Assumptions!$C$21+Assumptions!$C$22+Assumptions!$C$23</f>
        <v>606900</v>
      </c>
      <c r="G11" s="34" t="n">
        <f aca="false">Assumptions!$C$20+Assumptions!$C$21+Assumptions!$C$22+Assumptions!$C$23</f>
        <v>606900</v>
      </c>
      <c r="H11" s="34" t="n">
        <f aca="false">Assumptions!$C$20+Assumptions!$C$21+Assumptions!$C$22+Assumptions!$C$23</f>
        <v>606900</v>
      </c>
    </row>
    <row r="12" customFormat="false" ht="15" hidden="false" customHeight="true" outlineLevel="0" collapsed="false">
      <c r="B12" s="28" t="s">
        <v>101</v>
      </c>
      <c r="D12" s="35" t="n">
        <f aca="false">D10-D11</f>
        <v>1778010</v>
      </c>
      <c r="E12" s="35" t="n">
        <f aca="false">E10-E11</f>
        <v>1539519</v>
      </c>
      <c r="F12" s="35" t="n">
        <f aca="false">F10-F11</f>
        <v>1324877.1</v>
      </c>
      <c r="G12" s="35" t="n">
        <f aca="false">G10-G11</f>
        <v>1131699.39</v>
      </c>
      <c r="H12" s="35" t="n">
        <f aca="false">H10-H11</f>
        <v>957839.451</v>
      </c>
    </row>
    <row r="13" customFormat="false" ht="15" hidden="false" customHeight="true" outlineLevel="0" collapsed="false">
      <c r="B13" s="13" t="s">
        <v>102</v>
      </c>
      <c r="D13" s="34" t="n">
        <f aca="false">D12</f>
        <v>1778010</v>
      </c>
      <c r="E13" s="34" t="n">
        <f aca="false">D13+E12</f>
        <v>3317529</v>
      </c>
      <c r="F13" s="34" t="n">
        <f aca="false">E13+F12</f>
        <v>4642406.1</v>
      </c>
      <c r="G13" s="34" t="n">
        <f aca="false">F13+G12</f>
        <v>5774105.49</v>
      </c>
      <c r="H13" s="34" t="n">
        <f aca="false">G13+H12</f>
        <v>6731944.941</v>
      </c>
    </row>
    <row r="14" customFormat="false" ht="15" hidden="false" customHeight="true" outlineLevel="0" collapsed="false">
      <c r="B14" s="13" t="s">
        <v>103</v>
      </c>
      <c r="C14" s="34" t="n">
        <f aca="false">-'Debt Option'!$C$8</f>
        <v>-900942.2</v>
      </c>
      <c r="D14" s="34" t="n">
        <f aca="false">D12-'Debt Option'!$C$9</f>
        <v>1093157.61455974</v>
      </c>
      <c r="E14" s="34" t="n">
        <f aca="false">E12-'Debt Option'!$C$9</f>
        <v>854666.614559736</v>
      </c>
      <c r="F14" s="34" t="n">
        <f aca="false">F12-'Debt Option'!$C$9</f>
        <v>640024.714559736</v>
      </c>
      <c r="G14" s="34" t="n">
        <f aca="false">G12-'Debt Option'!$C$9</f>
        <v>446847.004559736</v>
      </c>
      <c r="H14" s="34" t="n">
        <f aca="false">H12-'Debt Option'!$C$9+Assumptions!$C$17</f>
        <v>272987.065559736</v>
      </c>
    </row>
    <row r="16" customFormat="false" ht="15" hidden="false" customHeight="true" outlineLevel="0" collapsed="false">
      <c r="B16" s="3" t="s">
        <v>104</v>
      </c>
    </row>
    <row r="17" customFormat="false" ht="15" hidden="false" customHeight="true" outlineLevel="0" collapsed="false">
      <c r="B17" s="13" t="s">
        <v>105</v>
      </c>
      <c r="C17" s="36" t="n">
        <f aca="false">CAPEX!$C$19/D12</f>
        <v>2.53356899005067</v>
      </c>
      <c r="D17" s="22" t="s">
        <v>106</v>
      </c>
    </row>
    <row r="18" customFormat="false" ht="15" hidden="false" customHeight="true" outlineLevel="0" collapsed="false">
      <c r="B18" s="13" t="s">
        <v>4</v>
      </c>
      <c r="C18" s="37" t="n">
        <f aca="false">CAPEX!$C$19*(1-Assumptions!$C$18)</f>
        <v>900942.2</v>
      </c>
      <c r="D18" s="12" t="s">
        <v>107</v>
      </c>
    </row>
    <row r="19" customFormat="false" ht="15" hidden="false" customHeight="true" outlineLevel="0" collapsed="false">
      <c r="B19" s="13" t="s">
        <v>108</v>
      </c>
      <c r="C19" s="37" t="n">
        <f aca="false">CAPEX!$C$19*Assumptions!$C$18</f>
        <v>3603768.8</v>
      </c>
      <c r="D19" s="22" t="s">
        <v>109</v>
      </c>
    </row>
    <row r="20" customFormat="false" ht="15" hidden="false" customHeight="true" outlineLevel="0" collapsed="false">
      <c r="B20" s="13" t="s">
        <v>110</v>
      </c>
      <c r="C20" s="37" t="n">
        <f aca="false">D12-'Debt Option'!$C$9</f>
        <v>1093157.61455974</v>
      </c>
      <c r="D20" s="22" t="s">
        <v>111</v>
      </c>
    </row>
    <row r="21" customFormat="false" ht="15" hidden="false" customHeight="true" outlineLevel="0" collapsed="false">
      <c r="B21" s="13" t="s">
        <v>112</v>
      </c>
      <c r="C21" s="36" t="n">
        <f aca="false">C18/C20</f>
        <v>0.824164958465619</v>
      </c>
      <c r="D21" s="22" t="s">
        <v>113</v>
      </c>
    </row>
    <row r="22" customFormat="false" ht="15" hidden="false" customHeight="true" outlineLevel="0" collapsed="false">
      <c r="B22" s="13" t="s">
        <v>114</v>
      </c>
      <c r="C22" s="38" t="n">
        <f aca="false">SUM(D14:H14)/C18</f>
        <v>3.67135984283862</v>
      </c>
      <c r="D22" s="22" t="s">
        <v>115</v>
      </c>
    </row>
    <row r="23" customFormat="false" ht="15" hidden="false" customHeight="true" outlineLevel="0" collapsed="false">
      <c r="B23" s="13" t="s">
        <v>14</v>
      </c>
      <c r="C23" s="39" t="n">
        <f aca="false">IRR(C14:H14)</f>
        <v>0.965502193409051</v>
      </c>
      <c r="D23" s="2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4" min="3" style="1" width="16"/>
    <col collapsed="false" customWidth="true" hidden="false" outlineLevel="0" max="6" min="5" style="1" width="18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</row>
    <row r="2" customFormat="false" ht="15" hidden="false" customHeight="true" outlineLevel="0" collapsed="false">
      <c r="B2" s="3" t="s">
        <v>117</v>
      </c>
    </row>
    <row r="3" customFormat="false" ht="19.5" hidden="false" customHeight="true" outlineLevel="0" collapsed="false">
      <c r="B3" s="4" t="s">
        <v>118</v>
      </c>
    </row>
    <row r="5" customFormat="false" ht="15" hidden="false" customHeight="true" outlineLevel="0" collapsed="false">
      <c r="B5" s="24" t="s">
        <v>119</v>
      </c>
      <c r="C5" s="25" t="s">
        <v>120</v>
      </c>
      <c r="D5" s="25" t="s">
        <v>9</v>
      </c>
      <c r="E5" s="25" t="s">
        <v>121</v>
      </c>
      <c r="F5" s="25" t="s">
        <v>122</v>
      </c>
    </row>
    <row r="6" customFormat="false" ht="15" hidden="false" customHeight="true" outlineLevel="0" collapsed="false">
      <c r="B6" s="17" t="n">
        <v>4</v>
      </c>
      <c r="C6" s="34" t="n">
        <f aca="false">(Assumptions!$C$7*B6*Assumptions!$C$9+Assumptions!$C$8*Assumptions!$C$13*Assumptions!$C$9*Assumptions!$C$10)-(Assumptions!$C$20+Assumptions!$C$21+Assumptions!$C$22+Assumptions!$C$23)</f>
        <v>1567770</v>
      </c>
      <c r="D6" s="40" t="n">
        <f aca="false">CAPEX!$C$19/C6</f>
        <v>2.87332389317311</v>
      </c>
      <c r="E6" s="41" t="n">
        <f aca="false">C6/'Debt Option'!$C$9</f>
        <v>2.28920864310364</v>
      </c>
      <c r="F6" s="41" t="n">
        <f aca="false">(Assumptions!$C$7*B6*Assumptions!$C$9+Assumptions!$C$8*Assumptions!$C$13*Assumptions!$C$9*Assumptions!$C$10)/(Assumptions!$C$20+Assumptions!$C$21+Assumptions!$C$22+Assumptions!$C$23)</f>
        <v>3.58324270884825</v>
      </c>
    </row>
    <row r="7" customFormat="false" ht="15" hidden="false" customHeight="true" outlineLevel="0" collapsed="false">
      <c r="B7" s="17" t="n">
        <v>4.25</v>
      </c>
      <c r="C7" s="34" t="n">
        <f aca="false">(Assumptions!$C$7*B7*Assumptions!$C$9+Assumptions!$C$8*Assumptions!$C$13*Assumptions!$C$9*Assumptions!$C$10)-(Assumptions!$C$20+Assumptions!$C$21+Assumptions!$C$22+Assumptions!$C$23)</f>
        <v>1672890</v>
      </c>
      <c r="D7" s="40" t="n">
        <f aca="false">CAPEX!$C$19/C7</f>
        <v>2.69277179013563</v>
      </c>
      <c r="E7" s="41" t="n">
        <f aca="false">C7/'Debt Option'!$C$9</f>
        <v>2.44270157418604</v>
      </c>
      <c r="F7" s="41" t="n">
        <f aca="false">(Assumptions!$C$7*B7*Assumptions!$C$9+Assumptions!$C$8*Assumptions!$C$13*Assumptions!$C$9*Assumptions!$C$10)/(Assumptions!$C$20+Assumptions!$C$21+Assumptions!$C$22+Assumptions!$C$23)</f>
        <v>3.75645081562037</v>
      </c>
    </row>
    <row r="8" customFormat="false" ht="15" hidden="false" customHeight="true" outlineLevel="0" collapsed="false">
      <c r="B8" s="17" t="n">
        <v>4.5</v>
      </c>
      <c r="C8" s="37" t="n">
        <f aca="false">(Assumptions!$C$7*B8*Assumptions!$C$9+Assumptions!$C$8*Assumptions!$C$13*Assumptions!$C$9*Assumptions!$C$10)-(Assumptions!$C$20+Assumptions!$C$21+Assumptions!$C$22+Assumptions!$C$23)</f>
        <v>1778010</v>
      </c>
      <c r="D8" s="36" t="n">
        <f aca="false">CAPEX!$C$19/C8</f>
        <v>2.53356899005067</v>
      </c>
      <c r="E8" s="38" t="n">
        <f aca="false">C8/'Debt Option'!$C$9</f>
        <v>2.59619450526844</v>
      </c>
      <c r="F8" s="38" t="n">
        <f aca="false">(Assumptions!$C$7*B8*Assumptions!$C$9+Assumptions!$C$8*Assumptions!$C$13*Assumptions!$C$9*Assumptions!$C$10)/(Assumptions!$C$20+Assumptions!$C$21+Assumptions!$C$22+Assumptions!$C$23)</f>
        <v>3.92965892239249</v>
      </c>
    </row>
    <row r="9" customFormat="false" ht="15" hidden="false" customHeight="true" outlineLevel="0" collapsed="false">
      <c r="B9" s="17" t="n">
        <v>4.75</v>
      </c>
      <c r="C9" s="34" t="n">
        <f aca="false">(Assumptions!$C$7*B9*Assumptions!$C$9+Assumptions!$C$8*Assumptions!$C$13*Assumptions!$C$9*Assumptions!$C$10)-(Assumptions!$C$20+Assumptions!$C$21+Assumptions!$C$22+Assumptions!$C$23)</f>
        <v>1883130</v>
      </c>
      <c r="D9" s="40" t="n">
        <f aca="false">CAPEX!$C$19/C9</f>
        <v>2.39214021336817</v>
      </c>
      <c r="E9" s="41" t="n">
        <f aca="false">C9/'Debt Option'!$C$9</f>
        <v>2.74968743635084</v>
      </c>
      <c r="F9" s="41" t="n">
        <f aca="false">(Assumptions!$C$7*B9*Assumptions!$C$9+Assumptions!$C$8*Assumptions!$C$13*Assumptions!$C$9*Assumptions!$C$10)/(Assumptions!$C$20+Assumptions!$C$21+Assumptions!$C$22+Assumptions!$C$23)</f>
        <v>4.10286702916461</v>
      </c>
    </row>
    <row r="10" customFormat="false" ht="15" hidden="false" customHeight="true" outlineLevel="0" collapsed="false">
      <c r="B10" s="17" t="n">
        <v>5</v>
      </c>
      <c r="C10" s="34" t="n">
        <f aca="false">(Assumptions!$C$7*B10*Assumptions!$C$9+Assumptions!$C$8*Assumptions!$C$13*Assumptions!$C$9*Assumptions!$C$10)-(Assumptions!$C$20+Assumptions!$C$21+Assumptions!$C$22+Assumptions!$C$23)</f>
        <v>1988250</v>
      </c>
      <c r="D10" s="40" t="n">
        <f aca="false">CAPEX!$C$19/C10</f>
        <v>2.26566628945052</v>
      </c>
      <c r="E10" s="41" t="n">
        <f aca="false">C10/'Debt Option'!$C$9</f>
        <v>2.90318036743325</v>
      </c>
      <c r="F10" s="41" t="n">
        <f aca="false">(Assumptions!$C$7*B10*Assumptions!$C$9+Assumptions!$C$8*Assumptions!$C$13*Assumptions!$C$9*Assumptions!$C$10)/(Assumptions!$C$20+Assumptions!$C$21+Assumptions!$C$22+Assumptions!$C$23)</f>
        <v>4.27607513593673</v>
      </c>
    </row>
    <row r="12" customFormat="false" ht="15" hidden="false" customHeight="true" outlineLevel="0" collapsed="false">
      <c r="B12" s="42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3" min="3" style="1" width="15"/>
    <col collapsed="false" customWidth="true" hidden="false" outlineLevel="0" max="4" min="4" style="1" width="13"/>
    <col collapsed="false" customWidth="true" hidden="false" outlineLevel="0" max="5" min="5" style="1" width="17"/>
    <col collapsed="false" customWidth="true" hidden="false" outlineLevel="0" max="6" min="6" style="1" width="19"/>
    <col collapsed="false" customWidth="true" hidden="false" outlineLevel="0" max="8" min="7" style="1" width="11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B2" s="3" t="s">
        <v>124</v>
      </c>
    </row>
    <row r="3" customFormat="false" ht="19.5" hidden="false" customHeight="true" outlineLevel="0" collapsed="false">
      <c r="B3" s="4" t="s">
        <v>125</v>
      </c>
    </row>
    <row r="5" customFormat="false" ht="15" hidden="false" customHeight="true" outlineLevel="0" collapsed="false">
      <c r="B5" s="24" t="s">
        <v>126</v>
      </c>
      <c r="C5" s="25" t="s">
        <v>127</v>
      </c>
      <c r="D5" s="25" t="s">
        <v>128</v>
      </c>
      <c r="E5" s="25" t="s">
        <v>129</v>
      </c>
      <c r="F5" s="25" t="s">
        <v>130</v>
      </c>
      <c r="G5" s="25" t="s">
        <v>131</v>
      </c>
      <c r="H5" s="25" t="s">
        <v>132</v>
      </c>
    </row>
    <row r="6" customFormat="false" ht="15" hidden="false" customHeight="true" outlineLevel="0" collapsed="false">
      <c r="B6" s="26" t="s">
        <v>133</v>
      </c>
      <c r="C6" s="15" t="n">
        <v>125000</v>
      </c>
      <c r="D6" s="43" t="n">
        <f aca="false">C6/'5-Year Model'!$C$18</f>
        <v>0.138743639714068</v>
      </c>
      <c r="E6" s="34" t="n">
        <f aca="false">D6*'5-Year Model'!$C$20</f>
        <v>151668.666225166</v>
      </c>
      <c r="F6" s="34" t="n">
        <f aca="false">D6*SUM('5-Year Model'!$D$14:$H$14)</f>
        <v>458919.980354828</v>
      </c>
      <c r="G6" s="41" t="n">
        <f aca="false">F6/C6</f>
        <v>3.67135984283862</v>
      </c>
      <c r="H6" s="43" t="n">
        <f aca="false">'5-Year Model'!$C$23</f>
        <v>0.965502193409051</v>
      </c>
    </row>
    <row r="7" customFormat="false" ht="15" hidden="false" customHeight="true" outlineLevel="0" collapsed="false">
      <c r="B7" s="26" t="s">
        <v>134</v>
      </c>
      <c r="C7" s="15" t="n">
        <v>250000</v>
      </c>
      <c r="D7" s="43" t="n">
        <f aca="false">C7/'5-Year Model'!$C$18</f>
        <v>0.277487279428137</v>
      </c>
      <c r="E7" s="34" t="n">
        <f aca="false">D7*'5-Year Model'!$C$20</f>
        <v>303337.332450333</v>
      </c>
      <c r="F7" s="34" t="n">
        <f aca="false">D7*SUM('5-Year Model'!$D$14:$H$14)</f>
        <v>917839.960709655</v>
      </c>
      <c r="G7" s="41" t="n">
        <f aca="false">F7/C7</f>
        <v>3.67135984283862</v>
      </c>
      <c r="H7" s="43" t="n">
        <f aca="false">'5-Year Model'!$C$23</f>
        <v>0.965502193409051</v>
      </c>
    </row>
    <row r="8" customFormat="false" ht="15" hidden="false" customHeight="true" outlineLevel="0" collapsed="false">
      <c r="B8" s="26" t="s">
        <v>135</v>
      </c>
      <c r="C8" s="15" t="n">
        <v>450000</v>
      </c>
      <c r="D8" s="43" t="n">
        <f aca="false">C8/'5-Year Model'!$C$18</f>
        <v>0.499477102970646</v>
      </c>
      <c r="E8" s="34" t="n">
        <f aca="false">D8*'5-Year Model'!$C$20</f>
        <v>546007.198410599</v>
      </c>
      <c r="F8" s="34" t="n">
        <f aca="false">D8*SUM('5-Year Model'!$D$14:$H$14)</f>
        <v>1652111.92927738</v>
      </c>
      <c r="G8" s="41" t="n">
        <f aca="false">F8/C8</f>
        <v>3.67135984283862</v>
      </c>
      <c r="H8" s="43" t="n">
        <f aca="false">'5-Year Model'!$C$23</f>
        <v>0.965502193409051</v>
      </c>
    </row>
    <row r="9" customFormat="false" ht="15" hidden="false" customHeight="true" outlineLevel="0" collapsed="false">
      <c r="B9" s="26" t="s">
        <v>136</v>
      </c>
      <c r="C9" s="18" t="n">
        <f aca="false">'5-Year Model'!$C$18</f>
        <v>900942.2</v>
      </c>
      <c r="D9" s="43" t="n">
        <f aca="false">C9/'5-Year Model'!$C$18</f>
        <v>1</v>
      </c>
      <c r="E9" s="34" t="n">
        <f aca="false">D9*'5-Year Model'!$C$20</f>
        <v>1093157.61455974</v>
      </c>
      <c r="F9" s="34" t="n">
        <f aca="false">D9*SUM('5-Year Model'!$D$14:$H$14)</f>
        <v>3307683.01379868</v>
      </c>
      <c r="G9" s="41" t="n">
        <f aca="false">F9/C9</f>
        <v>3.67135984283862</v>
      </c>
      <c r="H9" s="43" t="n">
        <f aca="false">'5-Year Model'!$C$23</f>
        <v>0.965502193409051</v>
      </c>
    </row>
    <row r="11" customFormat="false" ht="15" hidden="false" customHeight="true" outlineLevel="0" collapsed="false">
      <c r="B11" s="42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3" min="3" style="1" width="16"/>
    <col collapsed="false" customWidth="true" hidden="false" outlineLevel="0" max="8" min="4" style="1" width="14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B2" s="3" t="s">
        <v>138</v>
      </c>
    </row>
    <row r="3" customFormat="false" ht="19.5" hidden="false" customHeight="true" outlineLevel="0" collapsed="false">
      <c r="B3" s="4" t="s">
        <v>139</v>
      </c>
    </row>
    <row r="5" customFormat="false" ht="15" hidden="false" customHeight="true" outlineLevel="0" collapsed="false">
      <c r="B5" s="13" t="s">
        <v>140</v>
      </c>
      <c r="C5" s="44" t="n">
        <f aca="false">CAPEX!$C$19*Assumptions!$C$18</f>
        <v>3603768.8</v>
      </c>
      <c r="D5" s="22" t="s">
        <v>141</v>
      </c>
    </row>
    <row r="6" customFormat="false" ht="15" hidden="false" customHeight="true" outlineLevel="0" collapsed="false">
      <c r="B6" s="13" t="s">
        <v>55</v>
      </c>
      <c r="C6" s="45" t="n">
        <f aca="false">Assumptions!$C$25</f>
        <v>0.085</v>
      </c>
      <c r="D6" s="22" t="s">
        <v>142</v>
      </c>
    </row>
    <row r="7" customFormat="false" ht="15" hidden="false" customHeight="true" outlineLevel="0" collapsed="false">
      <c r="B7" s="13" t="s">
        <v>57</v>
      </c>
      <c r="C7" s="46" t="n">
        <f aca="false">Assumptions!$C$26</f>
        <v>7</v>
      </c>
      <c r="D7" s="22" t="s">
        <v>143</v>
      </c>
    </row>
    <row r="8" customFormat="false" ht="15" hidden="false" customHeight="true" outlineLevel="0" collapsed="false">
      <c r="B8" s="13" t="s">
        <v>144</v>
      </c>
      <c r="C8" s="34" t="n">
        <f aca="false">CAPEX!$C$19-C5</f>
        <v>900942.2</v>
      </c>
      <c r="D8" s="22" t="s">
        <v>145</v>
      </c>
    </row>
    <row r="9" customFormat="false" ht="15" hidden="false" customHeight="true" outlineLevel="0" collapsed="false">
      <c r="B9" s="13" t="s">
        <v>146</v>
      </c>
      <c r="C9" s="34" t="n">
        <f aca="false">-PMT(C6/12,C7*12,C5)*12</f>
        <v>684852.385440264</v>
      </c>
      <c r="D9" s="22" t="s">
        <v>147</v>
      </c>
    </row>
    <row r="10" customFormat="false" ht="15" hidden="false" customHeight="true" outlineLevel="0" collapsed="false">
      <c r="B10" s="13" t="s">
        <v>148</v>
      </c>
      <c r="C10" s="38" t="n">
        <f aca="false">'5-Year Model'!$D$12/C9</f>
        <v>2.59619450526844</v>
      </c>
      <c r="D10" s="22" t="s">
        <v>149</v>
      </c>
    </row>
    <row r="11" customFormat="false" ht="15" hidden="false" customHeight="false" outlineLevel="0" collapsed="false">
      <c r="B11" s="20" t="s">
        <v>150</v>
      </c>
      <c r="C11" s="47" t="n">
        <f aca="false">'5-Year Model'!$D$12/(-PMT(C6/12,60,C5)*12)</f>
        <v>2.00397405483735</v>
      </c>
      <c r="D11" s="22" t="s">
        <v>151</v>
      </c>
    </row>
    <row r="12" customFormat="false" ht="15" hidden="false" customHeight="true" outlineLevel="0" collapsed="false">
      <c r="B12" s="48" t="s">
        <v>152</v>
      </c>
      <c r="C12" s="25" t="s">
        <v>89</v>
      </c>
      <c r="D12" s="25" t="s">
        <v>90</v>
      </c>
      <c r="E12" s="25" t="s">
        <v>91</v>
      </c>
      <c r="F12" s="25" t="s">
        <v>92</v>
      </c>
      <c r="G12" s="25" t="s">
        <v>93</v>
      </c>
      <c r="H12" s="25" t="s">
        <v>94</v>
      </c>
    </row>
    <row r="13" customFormat="false" ht="15" hidden="false" customHeight="true" outlineLevel="0" collapsed="false">
      <c r="B13" s="13" t="s">
        <v>153</v>
      </c>
      <c r="C13" s="34" t="n">
        <f aca="false">-C8</f>
        <v>-900942.2</v>
      </c>
      <c r="D13" s="34" t="n">
        <f aca="false">'5-Year Model'!D12-$C$9</f>
        <v>1093157.61455974</v>
      </c>
      <c r="E13" s="34" t="n">
        <f aca="false">'5-Year Model'!E12-$C$9</f>
        <v>854666.614559736</v>
      </c>
      <c r="F13" s="34" t="n">
        <f aca="false">'5-Year Model'!F12-$C$9</f>
        <v>640024.714559736</v>
      </c>
      <c r="G13" s="34" t="n">
        <f aca="false">'5-Year Model'!G12-$C$9</f>
        <v>446847.004559736</v>
      </c>
      <c r="H13" s="34" t="n">
        <f aca="false">'5-Year Model'!H12-$C$9+Assumptions!$C$17</f>
        <v>272987.065559736</v>
      </c>
    </row>
    <row r="15" customFormat="false" ht="15" hidden="false" customHeight="true" outlineLevel="0" collapsed="false">
      <c r="B15" s="13" t="s">
        <v>154</v>
      </c>
      <c r="C15" s="39" t="n">
        <f aca="false">D13/C8</f>
        <v>1.21334932980133</v>
      </c>
    </row>
    <row r="16" customFormat="false" ht="15" hidden="false" customHeight="true" outlineLevel="0" collapsed="false">
      <c r="B16" s="13" t="s">
        <v>13</v>
      </c>
      <c r="C16" s="38" t="n">
        <f aca="false">SUM(D13:H13)/C8</f>
        <v>3.67135984283862</v>
      </c>
    </row>
    <row r="17" customFormat="false" ht="15" hidden="false" customHeight="true" outlineLevel="0" collapsed="false">
      <c r="B17" s="13" t="s">
        <v>155</v>
      </c>
      <c r="C17" s="39" t="n">
        <f aca="false">IRR(C13:H13)</f>
        <v>0.965502193409051</v>
      </c>
    </row>
    <row r="19" customFormat="false" ht="15" hidden="false" customHeight="true" outlineLevel="0" collapsed="false">
      <c r="B19" s="42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2026-07-19T14:23:51Z</dcterms:created>
  <dc:creator>openpyxl</dc:creator>
  <dc:description/>
  <dc:language>en-US</dc:language>
  <cp:lastModifiedBy/>
  <dcterms:modified xsi:type="dcterms:W3CDTF">2026-07-25T04:27:13Z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